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andreia_kubota_sptech_school/Documents/1o. Semestre - Miyuki/Pesquisa e Inovação - BRANDÃO/Dashboard/"/>
    </mc:Choice>
  </mc:AlternateContent>
  <xr:revisionPtr revIDLastSave="946" documentId="120_S{450FD50D-67FD-5326-B82E-27EA4718C576}" xr6:coauthVersionLast="47" xr6:coauthVersionMax="47" xr10:uidLastSave="{C5CF0192-DDF3-49AF-9994-EAD71746FFCC}"/>
  <bookViews>
    <workbookView xWindow="-108" yWindow="-108" windowWidth="23256" windowHeight="12456" xr2:uid="{00000000-000D-0000-FFFF-FFFF00000000}"/>
  </bookViews>
  <sheets>
    <sheet name="Gráficos" sheetId="2" r:id="rId1"/>
    <sheet name="Dado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 a="1"/>
  <c r="C10" i="2"/>
  <c r="AC9" i="2" s="1"/>
  <c r="AC3" i="2"/>
  <c r="AC5" i="2"/>
  <c r="AC7" i="2"/>
  <c r="E10" i="2" a="1"/>
  <c r="E10" i="2" s="1"/>
  <c r="F10" i="2" a="1"/>
  <c r="F10" i="2"/>
  <c r="G10" i="2" a="1"/>
  <c r="G10" i="2"/>
  <c r="H10" i="2" a="1"/>
  <c r="H10" i="2" s="1"/>
  <c r="L10" i="2" a="1"/>
  <c r="L10" i="2"/>
  <c r="M10" i="2" a="1"/>
  <c r="M10" i="2" s="1"/>
  <c r="N10" i="2" a="1"/>
  <c r="N10" i="2"/>
  <c r="O10" i="2" a="1"/>
  <c r="O10" i="2" s="1"/>
  <c r="P10" i="2" a="1"/>
  <c r="P10" i="2" s="1"/>
  <c r="T10" i="2" a="1"/>
  <c r="T10" i="2" s="1"/>
  <c r="U10" i="2" a="1"/>
  <c r="U10" i="2" s="1"/>
  <c r="V10" i="2" a="1"/>
  <c r="V10" i="2" s="1"/>
  <c r="W10" i="2" a="1"/>
  <c r="W10" i="2" s="1"/>
  <c r="X10" i="2" a="1"/>
  <c r="X10" i="2"/>
  <c r="Y10" i="2" a="1"/>
  <c r="Y10" i="2" s="1"/>
  <c r="F8" i="2" a="1"/>
  <c r="F8" i="2" s="1"/>
  <c r="G8" i="2" a="1"/>
  <c r="G8" i="2" s="1"/>
  <c r="H8" i="2" a="1"/>
  <c r="H8" i="2" s="1"/>
  <c r="I8" i="2" a="1"/>
  <c r="I8" i="2"/>
  <c r="J8" i="2" a="1"/>
  <c r="J8" i="2" s="1"/>
  <c r="K8" i="2" a="1"/>
  <c r="K8" i="2" s="1"/>
  <c r="P8" i="2" a="1"/>
  <c r="P8" i="2" s="1"/>
  <c r="Q8" i="2" a="1"/>
  <c r="Q8" i="2"/>
  <c r="R8" i="2" a="1"/>
  <c r="R8" i="2" s="1"/>
  <c r="S8" i="2" a="1"/>
  <c r="S8" i="2" s="1"/>
  <c r="T8" i="2" a="1"/>
  <c r="T8" i="2" s="1"/>
  <c r="Y8" i="2" a="1"/>
  <c r="Y8" i="2" s="1"/>
  <c r="Z8" i="2" a="1"/>
  <c r="Z8" i="2" s="1"/>
  <c r="D6" i="2" a="1"/>
  <c r="D6" i="2"/>
  <c r="E6" i="2" a="1"/>
  <c r="E6" i="2"/>
  <c r="F6" i="2" a="1"/>
  <c r="F6" i="2" s="1"/>
  <c r="I6" i="2" a="1"/>
  <c r="I6" i="2"/>
  <c r="J6" i="2" a="1"/>
  <c r="J6" i="2" s="1"/>
  <c r="K6" i="2" a="1"/>
  <c r="K6" i="2"/>
  <c r="L6" i="2" a="1"/>
  <c r="L6" i="2"/>
  <c r="P6" i="2" a="1"/>
  <c r="P6" i="2" s="1"/>
  <c r="Q6" i="2" a="1"/>
  <c r="Q6" i="2"/>
  <c r="R6" i="2" a="1"/>
  <c r="R6" i="2"/>
  <c r="S6" i="2" a="1"/>
  <c r="S6" i="2"/>
  <c r="Y6" i="2" a="1"/>
  <c r="Y6" i="2"/>
  <c r="Z6" i="2" a="1"/>
  <c r="Z6" i="2" s="1"/>
  <c r="C8" i="2" a="1"/>
  <c r="C8" i="2" s="1"/>
  <c r="C6" i="2" a="1"/>
  <c r="C6" i="2" s="1"/>
  <c r="C4" i="2" a="1"/>
  <c r="C4" i="2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3" i="1"/>
  <c r="C9" i="2" a="1"/>
  <c r="C9" i="2" s="1"/>
  <c r="C7" i="2" a="1"/>
  <c r="C7" i="2" s="1"/>
  <c r="C5" i="2" a="1"/>
  <c r="C5" i="2" s="1"/>
  <c r="C3" i="2" a="1"/>
  <c r="C3" i="2" s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3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C8" i="1"/>
  <c r="C9" i="1"/>
  <c r="C10" i="1"/>
  <c r="C12" i="1"/>
  <c r="C13" i="1"/>
  <c r="C14" i="1"/>
  <c r="C16" i="1"/>
  <c r="C17" i="1"/>
  <c r="C18" i="1"/>
  <c r="C20" i="1"/>
  <c r="C21" i="1"/>
  <c r="C22" i="1"/>
  <c r="C24" i="1"/>
  <c r="C25" i="1"/>
  <c r="C26" i="1"/>
  <c r="C28" i="1"/>
  <c r="C29" i="1"/>
  <c r="C30" i="1"/>
  <c r="C32" i="1"/>
  <c r="C33" i="1"/>
  <c r="C34" i="1"/>
  <c r="C36" i="1"/>
  <c r="C37" i="1"/>
  <c r="C38" i="1"/>
  <c r="C40" i="1"/>
  <c r="C41" i="1"/>
  <c r="C42" i="1"/>
  <c r="C44" i="1"/>
  <c r="C45" i="1"/>
  <c r="C46" i="1"/>
  <c r="C48" i="1"/>
  <c r="C52" i="1" s="1"/>
  <c r="C56" i="1" s="1"/>
  <c r="C60" i="1" s="1"/>
  <c r="C64" i="1" s="1"/>
  <c r="C68" i="1" s="1"/>
  <c r="C72" i="1" s="1"/>
  <c r="C76" i="1" s="1"/>
  <c r="C80" i="1" s="1"/>
  <c r="C84" i="1" s="1"/>
  <c r="C88" i="1" s="1"/>
  <c r="C92" i="1" s="1"/>
  <c r="C96" i="1" s="1"/>
  <c r="C49" i="1"/>
  <c r="C53" i="1" s="1"/>
  <c r="C57" i="1" s="1"/>
  <c r="C61" i="1" s="1"/>
  <c r="C65" i="1" s="1"/>
  <c r="C69" i="1" s="1"/>
  <c r="C73" i="1" s="1"/>
  <c r="C77" i="1" s="1"/>
  <c r="C81" i="1" s="1"/>
  <c r="C85" i="1" s="1"/>
  <c r="C89" i="1" s="1"/>
  <c r="C93" i="1" s="1"/>
  <c r="C97" i="1" s="1"/>
  <c r="C50" i="1"/>
  <c r="C54" i="1" s="1"/>
  <c r="C58" i="1" s="1"/>
  <c r="C62" i="1" s="1"/>
  <c r="C66" i="1" s="1"/>
  <c r="C70" i="1" s="1"/>
  <c r="C74" i="1" s="1"/>
  <c r="C78" i="1" s="1"/>
  <c r="C82" i="1" s="1"/>
  <c r="C86" i="1" s="1"/>
  <c r="C90" i="1" s="1"/>
  <c r="C94" i="1" s="1"/>
  <c r="C98" i="1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Z4" i="2" s="1" a="1"/>
  <c r="Z4" i="2" s="1"/>
  <c r="C7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2" i="1"/>
  <c r="F33" i="1"/>
  <c r="F29" i="1"/>
  <c r="F40" i="1"/>
  <c r="F41" i="1"/>
  <c r="F13" i="1"/>
  <c r="F14" i="1"/>
  <c r="O6" i="2" l="1" a="1"/>
  <c r="O6" i="2" s="1"/>
  <c r="O8" i="2" a="1"/>
  <c r="O8" i="2" s="1"/>
  <c r="K10" i="2" a="1"/>
  <c r="K10" i="2" s="1"/>
  <c r="D10" i="2" a="1"/>
  <c r="D10" i="2" s="1"/>
  <c r="W6" i="2" a="1"/>
  <c r="W6" i="2" s="1"/>
  <c r="H6" i="2" a="1"/>
  <c r="H6" i="2" s="1"/>
  <c r="N8" i="2" a="1"/>
  <c r="N8" i="2" s="1"/>
  <c r="E8" i="2" a="1"/>
  <c r="E8" i="2" s="1"/>
  <c r="V6" i="2" a="1"/>
  <c r="V6" i="2" s="1"/>
  <c r="W8" i="2" a="1"/>
  <c r="W8" i="2" s="1"/>
  <c r="M8" i="2" a="1"/>
  <c r="M8" i="2" s="1"/>
  <c r="R10" i="2" a="1"/>
  <c r="R10" i="2" s="1"/>
  <c r="J10" i="2" a="1"/>
  <c r="J10" i="2" s="1"/>
  <c r="V4" i="2" a="1"/>
  <c r="V4" i="2" s="1"/>
  <c r="U6" i="2" a="1"/>
  <c r="U6" i="2" s="1"/>
  <c r="G6" i="2" a="1"/>
  <c r="G6" i="2" s="1"/>
  <c r="V8" i="2" a="1"/>
  <c r="V8" i="2" s="1"/>
  <c r="L8" i="2" a="1"/>
  <c r="L8" i="2" s="1"/>
  <c r="D8" i="2" a="1"/>
  <c r="D8" i="2" s="1"/>
  <c r="Q10" i="2" a="1"/>
  <c r="Q10" i="2" s="1"/>
  <c r="I10" i="2" a="1"/>
  <c r="I10" i="2" s="1"/>
  <c r="X6" i="2" a="1"/>
  <c r="X6" i="2" s="1"/>
  <c r="X8" i="2" a="1"/>
  <c r="X8" i="2" s="1"/>
  <c r="S10" i="2" a="1"/>
  <c r="S10" i="2" s="1"/>
  <c r="N6" i="2" a="1"/>
  <c r="N6" i="2" s="1"/>
  <c r="O4" i="2" a="1"/>
  <c r="O4" i="2" s="1"/>
  <c r="T6" i="2" a="1"/>
  <c r="T6" i="2" s="1"/>
  <c r="M6" i="2" a="1"/>
  <c r="M6" i="2" s="1"/>
  <c r="U8" i="2" a="1"/>
  <c r="U8" i="2" s="1"/>
  <c r="Z10" i="2" a="1"/>
  <c r="Z10" i="2" s="1"/>
  <c r="N4" i="2" a="1"/>
  <c r="N4" i="2" s="1"/>
  <c r="G4" i="2" a="1"/>
  <c r="G4" i="2" s="1"/>
  <c r="F4" i="2" a="1"/>
  <c r="F4" i="2" s="1"/>
  <c r="Y4" i="2" a="1"/>
  <c r="Y4" i="2" s="1"/>
  <c r="K4" i="2" a="1"/>
  <c r="K4" i="2" s="1"/>
  <c r="D4" i="2" a="1"/>
  <c r="D4" i="2" s="1"/>
  <c r="H4" i="2" a="1"/>
  <c r="H4" i="2" s="1"/>
  <c r="L4" i="2" a="1"/>
  <c r="L4" i="2" s="1"/>
  <c r="E4" i="2" a="1"/>
  <c r="E4" i="2" s="1"/>
  <c r="X4" i="2" a="1"/>
  <c r="X4" i="2" s="1"/>
  <c r="Q4" i="2" a="1"/>
  <c r="Q4" i="2" s="1"/>
  <c r="J4" i="2" a="1"/>
  <c r="J4" i="2" s="1"/>
  <c r="U4" i="2" a="1"/>
  <c r="U4" i="2" s="1"/>
  <c r="M4" i="2" a="1"/>
  <c r="M4" i="2" s="1"/>
  <c r="R4" i="2" a="1"/>
  <c r="R4" i="2" s="1"/>
  <c r="P4" i="2" a="1"/>
  <c r="P4" i="2" s="1"/>
  <c r="T4" i="2" a="1"/>
  <c r="T4" i="2" s="1"/>
  <c r="S4" i="2" a="1"/>
  <c r="S4" i="2" s="1"/>
  <c r="W4" i="2" a="1"/>
  <c r="W4" i="2" s="1"/>
  <c r="I4" i="2" a="1"/>
  <c r="I4" i="2" s="1"/>
  <c r="C11" i="1"/>
  <c r="C15" i="1" s="1"/>
  <c r="C19" i="1" s="1"/>
  <c r="C23" i="1" s="1"/>
  <c r="C27" i="1" s="1"/>
  <c r="C31" i="1" s="1"/>
  <c r="C35" i="1" s="1"/>
  <c r="C39" i="1" s="1"/>
  <c r="C43" i="1" s="1"/>
  <c r="C47" i="1" s="1"/>
  <c r="C51" i="1" s="1"/>
  <c r="C55" i="1" s="1"/>
  <c r="C59" i="1" s="1"/>
  <c r="C63" i="1" s="1"/>
  <c r="C67" i="1" s="1"/>
  <c r="C71" i="1" s="1"/>
  <c r="C75" i="1" s="1"/>
  <c r="C79" i="1" s="1"/>
  <c r="C83" i="1" s="1"/>
  <c r="C87" i="1" s="1"/>
  <c r="C91" i="1" s="1"/>
  <c r="C95" i="1" s="1"/>
  <c r="D3" i="2" a="1"/>
  <c r="D3" i="2" s="1"/>
  <c r="E3" i="2" a="1"/>
  <c r="E3" i="2" s="1"/>
  <c r="F3" i="2" a="1"/>
  <c r="F3" i="2" s="1"/>
  <c r="G3" i="2" a="1"/>
  <c r="G3" i="2" s="1"/>
  <c r="H3" i="2" a="1"/>
  <c r="H3" i="2" s="1"/>
  <c r="I3" i="2" a="1"/>
  <c r="I3" i="2" s="1"/>
  <c r="J3" i="2" a="1"/>
  <c r="J3" i="2" s="1"/>
  <c r="K3" i="2" a="1"/>
  <c r="K3" i="2" s="1"/>
  <c r="L3" i="2" a="1"/>
  <c r="L3" i="2" s="1"/>
  <c r="M3" i="2" a="1"/>
  <c r="M3" i="2" s="1"/>
  <c r="N3" i="2" a="1"/>
  <c r="N3" i="2" s="1"/>
  <c r="O3" i="2" a="1"/>
  <c r="O3" i="2" s="1"/>
  <c r="P3" i="2" a="1"/>
  <c r="P3" i="2" s="1"/>
  <c r="Q3" i="2" a="1"/>
  <c r="Q3" i="2" s="1"/>
  <c r="R3" i="2" a="1"/>
  <c r="R3" i="2" s="1"/>
  <c r="S3" i="2" a="1"/>
  <c r="S3" i="2" s="1"/>
  <c r="T3" i="2" a="1"/>
  <c r="T3" i="2" s="1"/>
  <c r="U3" i="2" a="1"/>
  <c r="U3" i="2" s="1"/>
  <c r="V3" i="2" a="1"/>
  <c r="V3" i="2" s="1"/>
  <c r="W3" i="2" a="1"/>
  <c r="W3" i="2" s="1"/>
  <c r="X3" i="2" a="1"/>
  <c r="X3" i="2" s="1"/>
  <c r="Y3" i="2" a="1"/>
  <c r="Y3" i="2" s="1"/>
  <c r="Z3" i="2" a="1"/>
  <c r="Z3" i="2" s="1"/>
  <c r="D5" i="2" a="1"/>
  <c r="D5" i="2" s="1"/>
  <c r="E5" i="2" a="1"/>
  <c r="E5" i="2" s="1"/>
  <c r="F5" i="2" a="1"/>
  <c r="F5" i="2" s="1"/>
  <c r="G5" i="2" a="1"/>
  <c r="G5" i="2" s="1"/>
  <c r="H5" i="2" a="1"/>
  <c r="H5" i="2" s="1"/>
  <c r="I5" i="2" a="1"/>
  <c r="I5" i="2" s="1"/>
  <c r="J5" i="2" a="1"/>
  <c r="J5" i="2" s="1"/>
  <c r="K5" i="2" a="1"/>
  <c r="K5" i="2" s="1"/>
  <c r="L5" i="2" a="1"/>
  <c r="L5" i="2" s="1"/>
  <c r="M5" i="2" a="1"/>
  <c r="M5" i="2" s="1"/>
  <c r="N5" i="2" a="1"/>
  <c r="N5" i="2" s="1"/>
  <c r="O5" i="2" a="1"/>
  <c r="O5" i="2" s="1"/>
  <c r="P5" i="2" a="1"/>
  <c r="P5" i="2" s="1"/>
  <c r="Q5" i="2" a="1"/>
  <c r="Q5" i="2" s="1"/>
  <c r="R5" i="2" a="1"/>
  <c r="R5" i="2" s="1"/>
  <c r="S5" i="2" a="1"/>
  <c r="S5" i="2" s="1"/>
  <c r="T5" i="2" a="1"/>
  <c r="T5" i="2" s="1"/>
  <c r="U5" i="2" a="1"/>
  <c r="U5" i="2" s="1"/>
  <c r="V5" i="2" a="1"/>
  <c r="V5" i="2" s="1"/>
  <c r="W5" i="2" a="1"/>
  <c r="W5" i="2" s="1"/>
  <c r="X5" i="2" a="1"/>
  <c r="X5" i="2" s="1"/>
  <c r="Y5" i="2" a="1"/>
  <c r="Y5" i="2" s="1"/>
  <c r="Z5" i="2" a="1"/>
  <c r="Z5" i="2" s="1"/>
  <c r="D7" i="2" a="1"/>
  <c r="D7" i="2" s="1"/>
  <c r="E7" i="2" a="1"/>
  <c r="E7" i="2" s="1"/>
  <c r="F7" i="2" a="1"/>
  <c r="F7" i="2" s="1"/>
  <c r="G7" i="2" a="1"/>
  <c r="G7" i="2" s="1"/>
  <c r="H7" i="2" a="1"/>
  <c r="H7" i="2" s="1"/>
  <c r="I7" i="2" a="1"/>
  <c r="I7" i="2" s="1"/>
  <c r="J7" i="2" a="1"/>
  <c r="J7" i="2" s="1"/>
  <c r="K7" i="2" a="1"/>
  <c r="K7" i="2" s="1"/>
  <c r="L7" i="2" a="1"/>
  <c r="L7" i="2" s="1"/>
  <c r="M7" i="2" a="1"/>
  <c r="M7" i="2" s="1"/>
  <c r="N7" i="2" a="1"/>
  <c r="N7" i="2" s="1"/>
  <c r="O7" i="2" a="1"/>
  <c r="O7" i="2" s="1"/>
  <c r="P7" i="2" a="1"/>
  <c r="P7" i="2" s="1"/>
  <c r="Q7" i="2" a="1"/>
  <c r="Q7" i="2" s="1"/>
  <c r="R7" i="2" a="1"/>
  <c r="R7" i="2" s="1"/>
  <c r="S7" i="2" a="1"/>
  <c r="S7" i="2" s="1"/>
  <c r="T7" i="2" a="1"/>
  <c r="T7" i="2" s="1"/>
  <c r="U7" i="2" a="1"/>
  <c r="U7" i="2" s="1"/>
  <c r="V7" i="2" a="1"/>
  <c r="V7" i="2" s="1"/>
  <c r="W7" i="2" a="1"/>
  <c r="W7" i="2" s="1"/>
  <c r="X7" i="2" a="1"/>
  <c r="X7" i="2" s="1"/>
  <c r="Y7" i="2" a="1"/>
  <c r="Y7" i="2" s="1"/>
  <c r="Z7" i="2" a="1"/>
  <c r="Z7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I9" i="2" a="1"/>
  <c r="I9" i="2" s="1"/>
  <c r="J9" i="2" a="1"/>
  <c r="J9" i="2" s="1"/>
  <c r="K9" i="2" a="1"/>
  <c r="K9" i="2" s="1"/>
  <c r="L9" i="2" a="1"/>
  <c r="L9" i="2" s="1"/>
  <c r="M9" i="2" a="1"/>
  <c r="M9" i="2" s="1"/>
  <c r="N9" i="2" a="1"/>
  <c r="N9" i="2" s="1"/>
  <c r="O9" i="2" a="1"/>
  <c r="O9" i="2" s="1"/>
  <c r="P9" i="2" a="1"/>
  <c r="P9" i="2" s="1"/>
  <c r="Q9" i="2" a="1"/>
  <c r="Q9" i="2" s="1"/>
  <c r="R9" i="2" a="1"/>
  <c r="R9" i="2" s="1"/>
  <c r="S9" i="2" a="1"/>
  <c r="S9" i="2" s="1"/>
  <c r="T9" i="2" a="1"/>
  <c r="T9" i="2" s="1"/>
  <c r="U9" i="2" a="1"/>
  <c r="U9" i="2" s="1"/>
  <c r="V9" i="2" a="1"/>
  <c r="V9" i="2" s="1"/>
  <c r="W9" i="2" a="1"/>
  <c r="W9" i="2" s="1"/>
  <c r="X9" i="2" a="1"/>
  <c r="X9" i="2" s="1"/>
  <c r="Y9" i="2" a="1"/>
  <c r="Y9" i="2" s="1"/>
  <c r="Z9" i="2" a="1"/>
  <c r="Z9" i="2" s="1"/>
  <c r="F48" i="1"/>
  <c r="F43" i="1"/>
  <c r="F44" i="1"/>
  <c r="F45" i="1"/>
  <c r="F46" i="1"/>
  <c r="F42" i="1"/>
  <c r="F49" i="1"/>
  <c r="F47" i="1"/>
  <c r="F50" i="1"/>
  <c r="F3" i="1"/>
  <c r="F12" i="1"/>
  <c r="F11" i="1"/>
  <c r="F10" i="1"/>
  <c r="F9" i="1"/>
  <c r="F8" i="1"/>
  <c r="F7" i="1"/>
  <c r="F6" i="1"/>
  <c r="F5" i="1"/>
  <c r="F4" i="1"/>
  <c r="F39" i="1"/>
  <c r="F38" i="1"/>
  <c r="F37" i="1"/>
  <c r="F36" i="1"/>
  <c r="F35" i="1"/>
  <c r="F34" i="1"/>
  <c r="AA9" i="2" l="1"/>
  <c r="AB7" i="2"/>
  <c r="AB9" i="2"/>
  <c r="AB3" i="2"/>
  <c r="AB5" i="2"/>
  <c r="AA7" i="2"/>
  <c r="AA5" i="2"/>
  <c r="A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<sst xmlns="http://schemas.openxmlformats.org/spreadsheetml/2006/main" count="24" uniqueCount="16">
  <si>
    <t>id Coleta</t>
  </si>
  <si>
    <t>id Sensor</t>
  </si>
  <si>
    <t>Data e Hora da coleta</t>
  </si>
  <si>
    <t>Temperatura</t>
  </si>
  <si>
    <t>Temperatura Crítica</t>
  </si>
  <si>
    <t>Alerta</t>
  </si>
  <si>
    <t>min</t>
  </si>
  <si>
    <t>max</t>
  </si>
  <si>
    <t>RND</t>
  </si>
  <si>
    <t>Alerts</t>
  </si>
  <si>
    <t>Temperatura crítica</t>
  </si>
  <si>
    <t>Produção</t>
  </si>
  <si>
    <t>Temperatura (ºC)</t>
  </si>
  <si>
    <t>Produção (%)</t>
  </si>
  <si>
    <t>Temperatura média diária</t>
  </si>
  <si>
    <t>Produção média diária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</si>
</sst>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22" fontId="3" fillId="6" borderId="1" xfId="0" applyNumberFormat="1" applyFont="1" applyFill="1" applyBorder="1" applyAlignment="1">
      <alignment horizontal="center" vertical="center" textRotation="45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22" fontId="4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4" fontId="1" fillId="10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22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rgb="FF9C0006"/>
      </font>
      <fill>
        <patternFill patternType="solid">
          <bgColor rgb="FFFFC7CE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FF9B9B"/>
      </font>
      <fill>
        <patternFill>
          <bgColor rgb="FFC00000"/>
        </patternFill>
      </fill>
    </dxf>
    <dxf>
      <font>
        <color rgb="FFFF9B9B"/>
      </font>
      <fill>
        <patternFill>
          <bgColor rgb="FFC00000"/>
        </patternFill>
      </fill>
    </dxf>
    <dxf>
      <font>
        <color rgb="FFFF9B9B"/>
      </font>
      <fill>
        <patternFill>
          <bgColor rgb="FFC00000"/>
        </patternFill>
      </fill>
    </dxf>
    <dxf>
      <font>
        <color rgb="FFFF9B9B"/>
      </font>
      <fill>
        <patternFill>
          <bgColor rgb="FFC00000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2" defaultPivotStyle="PivotStyleMedium9"/>
  <colors>
    <mruColors>
      <color rgb="FFDA0000"/>
      <color rgb="FFFB89A4"/>
      <color rgb="FFFFDDDD"/>
      <color rgb="FFFF9B9B"/>
      <color rgb="FF9BEFE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Sensor 1 - Temperatura ao longo do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Gráficos!$A$3</c:f>
              <c:strCache>
                <c:ptCount val="1"/>
                <c:pt idx="0">
                  <c:v>Temperatura (ºC)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Gráficos!$C$1:$Z$2</c:f>
              <c:multiLvlStrCache>
                <c:ptCount val="24"/>
                <c:lvl>
                  <c:pt idx="0">
                    <c:v>06/10/2025 00:00</c:v>
                  </c:pt>
                  <c:pt idx="1">
                    <c:v>06/10/2025 01:00</c:v>
                  </c:pt>
                  <c:pt idx="2">
                    <c:v>06/10/2025 02:00</c:v>
                  </c:pt>
                  <c:pt idx="3">
                    <c:v>06/10/2025 03:00</c:v>
                  </c:pt>
                  <c:pt idx="4">
                    <c:v>06/10/2025 04:00</c:v>
                  </c:pt>
                  <c:pt idx="5">
                    <c:v>06/10/2025 05:00</c:v>
                  </c:pt>
                  <c:pt idx="6">
                    <c:v>06/10/2025 06:00</c:v>
                  </c:pt>
                  <c:pt idx="7">
                    <c:v>06/10/2025 07:00</c:v>
                  </c:pt>
                  <c:pt idx="8">
                    <c:v>06/10/2025 08:00</c:v>
                  </c:pt>
                  <c:pt idx="9">
                    <c:v>06/10/2025 09:00</c:v>
                  </c:pt>
                  <c:pt idx="10">
                    <c:v>06/10/2025 10:00</c:v>
                  </c:pt>
                  <c:pt idx="11">
                    <c:v>06/10/2025 11:00</c:v>
                  </c:pt>
                  <c:pt idx="12">
                    <c:v>06/10/2025 12:00</c:v>
                  </c:pt>
                  <c:pt idx="13">
                    <c:v>06/10/2025 13:00</c:v>
                  </c:pt>
                  <c:pt idx="14">
                    <c:v>06/10/2025 14:00</c:v>
                  </c:pt>
                  <c:pt idx="15">
                    <c:v>06/10/2025 15:00</c:v>
                  </c:pt>
                  <c:pt idx="16">
                    <c:v>06/10/2025 16:00</c:v>
                  </c:pt>
                  <c:pt idx="17">
                    <c:v>06/10/2025 17:00</c:v>
                  </c:pt>
                  <c:pt idx="18">
                    <c:v>06/10/2025 18:00</c:v>
                  </c:pt>
                  <c:pt idx="19">
                    <c:v>06/10/2025 19:00</c:v>
                  </c:pt>
                  <c:pt idx="20">
                    <c:v>06/10/2025 20:00</c:v>
                  </c:pt>
                  <c:pt idx="21">
                    <c:v>06/10/2025 21:00</c:v>
                  </c:pt>
                  <c:pt idx="22">
                    <c:v>06/10/2025 22:00</c:v>
                  </c:pt>
                  <c:pt idx="23">
                    <c:v>06/10/2025 23:00</c:v>
                  </c:pt>
                </c:lvl>
                <c:lvl>
                  <c:pt idx="0">
                    <c:v>Data e Hora da coleta</c:v>
                  </c:pt>
                </c:lvl>
              </c:multiLvlStrCache>
            </c:multiLvlStrRef>
          </c:cat>
          <c:val>
            <c:numRef>
              <c:f>Gráficos!$C$3:$Z$3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  <c:pt idx="5">
                  <c:v>21</c:v>
                </c:pt>
                <c:pt idx="6">
                  <c:v>16</c:v>
                </c:pt>
                <c:pt idx="7">
                  <c:v>21</c:v>
                </c:pt>
                <c:pt idx="8">
                  <c:v>25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28</c:v>
                </c:pt>
                <c:pt idx="13">
                  <c:v>24</c:v>
                </c:pt>
                <c:pt idx="14">
                  <c:v>34</c:v>
                </c:pt>
                <c:pt idx="15">
                  <c:v>33</c:v>
                </c:pt>
                <c:pt idx="16">
                  <c:v>29</c:v>
                </c:pt>
                <c:pt idx="17">
                  <c:v>23</c:v>
                </c:pt>
                <c:pt idx="18">
                  <c:v>23</c:v>
                </c:pt>
                <c:pt idx="19">
                  <c:v>22</c:v>
                </c:pt>
                <c:pt idx="20">
                  <c:v>24</c:v>
                </c:pt>
                <c:pt idx="21">
                  <c:v>22</c:v>
                </c:pt>
                <c:pt idx="22">
                  <c:v>18</c:v>
                </c:pt>
                <c:pt idx="2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4-496E-B783-EF1760898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88347135"/>
        <c:axId val="1888348095"/>
      </c:barChart>
      <c:lineChart>
        <c:grouping val="standard"/>
        <c:varyColors val="0"/>
        <c:ser>
          <c:idx val="1"/>
          <c:order val="1"/>
          <c:tx>
            <c:strRef>
              <c:f>Gráficos!$B$11</c:f>
              <c:strCache>
                <c:ptCount val="1"/>
                <c:pt idx="0">
                  <c:v>Temperatura crítica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Gráficos!$C$11:$Z$11</c:f>
              <c:numCache>
                <c:formatCode>General</c:formatCode>
                <c:ptCount val="24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B4-496E-B783-EF1760898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347135"/>
        <c:axId val="1888348095"/>
      </c:lineChart>
      <c:lineChart>
        <c:grouping val="standard"/>
        <c:varyColors val="0"/>
        <c:ser>
          <c:idx val="2"/>
          <c:order val="2"/>
          <c:tx>
            <c:strRef>
              <c:f>Gráficos!$A$4</c:f>
              <c:strCache>
                <c:ptCount val="1"/>
                <c:pt idx="0">
                  <c:v>Produção (%)</c:v>
                </c:pt>
              </c:strCache>
            </c:strRef>
          </c:tx>
          <c:spPr>
            <a:ln w="25400" cap="rnd">
              <a:solidFill>
                <a:schemeClr val="accent4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Gráficos!$C$4:$Z$4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97.5</c:v>
                </c:pt>
                <c:pt idx="6">
                  <c:v>100</c:v>
                </c:pt>
                <c:pt idx="7">
                  <c:v>97.5</c:v>
                </c:pt>
                <c:pt idx="8">
                  <c:v>87.5</c:v>
                </c:pt>
                <c:pt idx="9">
                  <c:v>90</c:v>
                </c:pt>
                <c:pt idx="10">
                  <c:v>85</c:v>
                </c:pt>
                <c:pt idx="11">
                  <c:v>85</c:v>
                </c:pt>
                <c:pt idx="12">
                  <c:v>80</c:v>
                </c:pt>
                <c:pt idx="13">
                  <c:v>90</c:v>
                </c:pt>
                <c:pt idx="14">
                  <c:v>64.999999999999986</c:v>
                </c:pt>
                <c:pt idx="15">
                  <c:v>67.5</c:v>
                </c:pt>
                <c:pt idx="16">
                  <c:v>77.5</c:v>
                </c:pt>
                <c:pt idx="17">
                  <c:v>92.5</c:v>
                </c:pt>
                <c:pt idx="18">
                  <c:v>92.5</c:v>
                </c:pt>
                <c:pt idx="19">
                  <c:v>95</c:v>
                </c:pt>
                <c:pt idx="20">
                  <c:v>90</c:v>
                </c:pt>
                <c:pt idx="21">
                  <c:v>95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6-43AC-BC8E-F4CB5495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02383"/>
        <c:axId val="117799503"/>
      </c:lineChart>
      <c:catAx>
        <c:axId val="18883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8095"/>
        <c:crosses val="autoZero"/>
        <c:auto val="1"/>
        <c:lblAlgn val="ctr"/>
        <c:lblOffset val="100"/>
        <c:noMultiLvlLbl val="0"/>
      </c:catAx>
      <c:valAx>
        <c:axId val="18883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7135"/>
        <c:crosses val="autoZero"/>
        <c:crossBetween val="between"/>
      </c:valAx>
      <c:valAx>
        <c:axId val="117799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Produção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02383"/>
        <c:crosses val="max"/>
        <c:crossBetween val="between"/>
      </c:valAx>
      <c:catAx>
        <c:axId val="117802383"/>
        <c:scaling>
          <c:orientation val="minMax"/>
        </c:scaling>
        <c:delete val="1"/>
        <c:axPos val="b"/>
        <c:majorTickMark val="out"/>
        <c:minorTickMark val="none"/>
        <c:tickLblPos val="nextTo"/>
        <c:crossAx val="117799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Sensor 2 - Temperatura ao longo do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Gráficos!$A$5</c:f>
              <c:strCache>
                <c:ptCount val="1"/>
                <c:pt idx="0">
                  <c:v>Temperatura (ºC)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Gráficos!$C$1:$Z$2</c:f>
              <c:multiLvlStrCache>
                <c:ptCount val="24"/>
                <c:lvl>
                  <c:pt idx="0">
                    <c:v>06/10/2025 00:00</c:v>
                  </c:pt>
                  <c:pt idx="1">
                    <c:v>06/10/2025 01:00</c:v>
                  </c:pt>
                  <c:pt idx="2">
                    <c:v>06/10/2025 02:00</c:v>
                  </c:pt>
                  <c:pt idx="3">
                    <c:v>06/10/2025 03:00</c:v>
                  </c:pt>
                  <c:pt idx="4">
                    <c:v>06/10/2025 04:00</c:v>
                  </c:pt>
                  <c:pt idx="5">
                    <c:v>06/10/2025 05:00</c:v>
                  </c:pt>
                  <c:pt idx="6">
                    <c:v>06/10/2025 06:00</c:v>
                  </c:pt>
                  <c:pt idx="7">
                    <c:v>06/10/2025 07:00</c:v>
                  </c:pt>
                  <c:pt idx="8">
                    <c:v>06/10/2025 08:00</c:v>
                  </c:pt>
                  <c:pt idx="9">
                    <c:v>06/10/2025 09:00</c:v>
                  </c:pt>
                  <c:pt idx="10">
                    <c:v>06/10/2025 10:00</c:v>
                  </c:pt>
                  <c:pt idx="11">
                    <c:v>06/10/2025 11:00</c:v>
                  </c:pt>
                  <c:pt idx="12">
                    <c:v>06/10/2025 12:00</c:v>
                  </c:pt>
                  <c:pt idx="13">
                    <c:v>06/10/2025 13:00</c:v>
                  </c:pt>
                  <c:pt idx="14">
                    <c:v>06/10/2025 14:00</c:v>
                  </c:pt>
                  <c:pt idx="15">
                    <c:v>06/10/2025 15:00</c:v>
                  </c:pt>
                  <c:pt idx="16">
                    <c:v>06/10/2025 16:00</c:v>
                  </c:pt>
                  <c:pt idx="17">
                    <c:v>06/10/2025 17:00</c:v>
                  </c:pt>
                  <c:pt idx="18">
                    <c:v>06/10/2025 18:00</c:v>
                  </c:pt>
                  <c:pt idx="19">
                    <c:v>06/10/2025 19:00</c:v>
                  </c:pt>
                  <c:pt idx="20">
                    <c:v>06/10/2025 20:00</c:v>
                  </c:pt>
                  <c:pt idx="21">
                    <c:v>06/10/2025 21:00</c:v>
                  </c:pt>
                  <c:pt idx="22">
                    <c:v>06/10/2025 22:00</c:v>
                  </c:pt>
                  <c:pt idx="23">
                    <c:v>06/10/2025 23:00</c:v>
                  </c:pt>
                </c:lvl>
                <c:lvl>
                  <c:pt idx="0">
                    <c:v>Data e Hora da coleta</c:v>
                  </c:pt>
                </c:lvl>
              </c:multiLvlStrCache>
            </c:multiLvlStrRef>
          </c:cat>
          <c:val>
            <c:numRef>
              <c:f>Gráficos!$C$5:$Z$5</c:f>
              <c:numCache>
                <c:formatCode>General</c:formatCode>
                <c:ptCount val="24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15</c:v>
                </c:pt>
                <c:pt idx="7">
                  <c:v>22</c:v>
                </c:pt>
                <c:pt idx="8">
                  <c:v>22</c:v>
                </c:pt>
                <c:pt idx="9">
                  <c:v>29</c:v>
                </c:pt>
                <c:pt idx="10">
                  <c:v>29</c:v>
                </c:pt>
                <c:pt idx="11">
                  <c:v>26</c:v>
                </c:pt>
                <c:pt idx="12">
                  <c:v>23</c:v>
                </c:pt>
                <c:pt idx="13">
                  <c:v>33</c:v>
                </c:pt>
                <c:pt idx="14">
                  <c:v>27</c:v>
                </c:pt>
                <c:pt idx="15">
                  <c:v>32</c:v>
                </c:pt>
                <c:pt idx="16">
                  <c:v>33</c:v>
                </c:pt>
                <c:pt idx="17">
                  <c:v>32</c:v>
                </c:pt>
                <c:pt idx="18">
                  <c:v>21</c:v>
                </c:pt>
                <c:pt idx="19">
                  <c:v>22</c:v>
                </c:pt>
                <c:pt idx="20">
                  <c:v>20</c:v>
                </c:pt>
                <c:pt idx="21">
                  <c:v>20</c:v>
                </c:pt>
                <c:pt idx="22">
                  <c:v>22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D-4375-BA4B-925B3FFE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88347135"/>
        <c:axId val="1888348095"/>
      </c:barChart>
      <c:lineChart>
        <c:grouping val="standard"/>
        <c:varyColors val="0"/>
        <c:ser>
          <c:idx val="1"/>
          <c:order val="1"/>
          <c:tx>
            <c:strRef>
              <c:f>Gráficos!$B$11</c:f>
              <c:strCache>
                <c:ptCount val="1"/>
                <c:pt idx="0">
                  <c:v>Temperatura crítica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Gráficos!$C$11:$Z$11</c:f>
              <c:numCache>
                <c:formatCode>General</c:formatCode>
                <c:ptCount val="24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D-4375-BA4B-925B3FFE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347135"/>
        <c:axId val="1888348095"/>
      </c:lineChart>
      <c:lineChart>
        <c:grouping val="standard"/>
        <c:varyColors val="0"/>
        <c:ser>
          <c:idx val="2"/>
          <c:order val="2"/>
          <c:tx>
            <c:strRef>
              <c:f>Gráficos!$A$6</c:f>
              <c:strCache>
                <c:ptCount val="1"/>
                <c:pt idx="0">
                  <c:v>Produção (%)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Gráficos!$C$6:$Z$6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95</c:v>
                </c:pt>
                <c:pt idx="8">
                  <c:v>95</c:v>
                </c:pt>
                <c:pt idx="9">
                  <c:v>77.5</c:v>
                </c:pt>
                <c:pt idx="10">
                  <c:v>77.5</c:v>
                </c:pt>
                <c:pt idx="11">
                  <c:v>85</c:v>
                </c:pt>
                <c:pt idx="12">
                  <c:v>92.5</c:v>
                </c:pt>
                <c:pt idx="13">
                  <c:v>67.5</c:v>
                </c:pt>
                <c:pt idx="14">
                  <c:v>82.5</c:v>
                </c:pt>
                <c:pt idx="15">
                  <c:v>70</c:v>
                </c:pt>
                <c:pt idx="16">
                  <c:v>67.5</c:v>
                </c:pt>
                <c:pt idx="17">
                  <c:v>70</c:v>
                </c:pt>
                <c:pt idx="18">
                  <c:v>97.5</c:v>
                </c:pt>
                <c:pt idx="19">
                  <c:v>95</c:v>
                </c:pt>
                <c:pt idx="20">
                  <c:v>100</c:v>
                </c:pt>
                <c:pt idx="21">
                  <c:v>100</c:v>
                </c:pt>
                <c:pt idx="22">
                  <c:v>95</c:v>
                </c:pt>
                <c:pt idx="2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7-4A7B-9675-0E29CDC62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957648"/>
        <c:axId val="467498687"/>
      </c:lineChart>
      <c:catAx>
        <c:axId val="18883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8095"/>
        <c:crosses val="autoZero"/>
        <c:auto val="1"/>
        <c:lblAlgn val="ctr"/>
        <c:lblOffset val="100"/>
        <c:noMultiLvlLbl val="0"/>
      </c:catAx>
      <c:valAx>
        <c:axId val="18883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7135"/>
        <c:crosses val="autoZero"/>
        <c:crossBetween val="between"/>
      </c:valAx>
      <c:valAx>
        <c:axId val="4674986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Produção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3957648"/>
        <c:crosses val="max"/>
        <c:crossBetween val="between"/>
      </c:valAx>
      <c:catAx>
        <c:axId val="1093957648"/>
        <c:scaling>
          <c:orientation val="minMax"/>
        </c:scaling>
        <c:delete val="1"/>
        <c:axPos val="b"/>
        <c:majorTickMark val="out"/>
        <c:minorTickMark val="none"/>
        <c:tickLblPos val="nextTo"/>
        <c:crossAx val="46749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alpha val="93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/>
                </a:solidFill>
              </a:rPr>
              <a:t>Sensor 3 - Temperatura ao longo do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Gráficos!$A$7</c:f>
              <c:strCache>
                <c:ptCount val="1"/>
                <c:pt idx="0">
                  <c:v>Temperatura (ºC)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Gráficos!$C$1:$Z$2</c:f>
              <c:multiLvlStrCache>
                <c:ptCount val="24"/>
                <c:lvl>
                  <c:pt idx="0">
                    <c:v>06/10/2025 00:00</c:v>
                  </c:pt>
                  <c:pt idx="1">
                    <c:v>06/10/2025 01:00</c:v>
                  </c:pt>
                  <c:pt idx="2">
                    <c:v>06/10/2025 02:00</c:v>
                  </c:pt>
                  <c:pt idx="3">
                    <c:v>06/10/2025 03:00</c:v>
                  </c:pt>
                  <c:pt idx="4">
                    <c:v>06/10/2025 04:00</c:v>
                  </c:pt>
                  <c:pt idx="5">
                    <c:v>06/10/2025 05:00</c:v>
                  </c:pt>
                  <c:pt idx="6">
                    <c:v>06/10/2025 06:00</c:v>
                  </c:pt>
                  <c:pt idx="7">
                    <c:v>06/10/2025 07:00</c:v>
                  </c:pt>
                  <c:pt idx="8">
                    <c:v>06/10/2025 08:00</c:v>
                  </c:pt>
                  <c:pt idx="9">
                    <c:v>06/10/2025 09:00</c:v>
                  </c:pt>
                  <c:pt idx="10">
                    <c:v>06/10/2025 10:00</c:v>
                  </c:pt>
                  <c:pt idx="11">
                    <c:v>06/10/2025 11:00</c:v>
                  </c:pt>
                  <c:pt idx="12">
                    <c:v>06/10/2025 12:00</c:v>
                  </c:pt>
                  <c:pt idx="13">
                    <c:v>06/10/2025 13:00</c:v>
                  </c:pt>
                  <c:pt idx="14">
                    <c:v>06/10/2025 14:00</c:v>
                  </c:pt>
                  <c:pt idx="15">
                    <c:v>06/10/2025 15:00</c:v>
                  </c:pt>
                  <c:pt idx="16">
                    <c:v>06/10/2025 16:00</c:v>
                  </c:pt>
                  <c:pt idx="17">
                    <c:v>06/10/2025 17:00</c:v>
                  </c:pt>
                  <c:pt idx="18">
                    <c:v>06/10/2025 18:00</c:v>
                  </c:pt>
                  <c:pt idx="19">
                    <c:v>06/10/2025 19:00</c:v>
                  </c:pt>
                  <c:pt idx="20">
                    <c:v>06/10/2025 20:00</c:v>
                  </c:pt>
                  <c:pt idx="21">
                    <c:v>06/10/2025 21:00</c:v>
                  </c:pt>
                  <c:pt idx="22">
                    <c:v>06/10/2025 22:00</c:v>
                  </c:pt>
                  <c:pt idx="23">
                    <c:v>06/10/2025 23:00</c:v>
                  </c:pt>
                </c:lvl>
                <c:lvl>
                  <c:pt idx="0">
                    <c:v>Data e Hora da coleta</c:v>
                  </c:pt>
                </c:lvl>
              </c:multiLvlStrCache>
            </c:multiLvlStrRef>
          </c:cat>
          <c:val>
            <c:numRef>
              <c:f>Gráficos!$C$7:$Z$7</c:f>
              <c:numCache>
                <c:formatCode>General</c:formatCode>
                <c:ptCount val="24"/>
                <c:pt idx="0">
                  <c:v>6</c:v>
                </c:pt>
                <c:pt idx="1">
                  <c:v>12</c:v>
                </c:pt>
                <c:pt idx="2">
                  <c:v>11</c:v>
                </c:pt>
                <c:pt idx="3">
                  <c:v>17</c:v>
                </c:pt>
                <c:pt idx="4">
                  <c:v>13</c:v>
                </c:pt>
                <c:pt idx="5">
                  <c:v>20</c:v>
                </c:pt>
                <c:pt idx="6">
                  <c:v>14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20</c:v>
                </c:pt>
                <c:pt idx="11">
                  <c:v>27</c:v>
                </c:pt>
                <c:pt idx="12">
                  <c:v>31</c:v>
                </c:pt>
                <c:pt idx="13">
                  <c:v>34</c:v>
                </c:pt>
                <c:pt idx="14">
                  <c:v>31</c:v>
                </c:pt>
                <c:pt idx="15">
                  <c:v>27</c:v>
                </c:pt>
                <c:pt idx="16">
                  <c:v>24</c:v>
                </c:pt>
                <c:pt idx="17">
                  <c:v>31</c:v>
                </c:pt>
                <c:pt idx="18">
                  <c:v>29</c:v>
                </c:pt>
                <c:pt idx="19">
                  <c:v>23</c:v>
                </c:pt>
                <c:pt idx="20">
                  <c:v>22</c:v>
                </c:pt>
                <c:pt idx="21">
                  <c:v>24</c:v>
                </c:pt>
                <c:pt idx="22">
                  <c:v>16</c:v>
                </c:pt>
                <c:pt idx="2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2-4E21-A344-BE656352B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88347135"/>
        <c:axId val="1888348095"/>
      </c:barChart>
      <c:lineChart>
        <c:grouping val="standard"/>
        <c:varyColors val="0"/>
        <c:ser>
          <c:idx val="1"/>
          <c:order val="1"/>
          <c:tx>
            <c:strRef>
              <c:f>Gráficos!$B$11</c:f>
              <c:strCache>
                <c:ptCount val="1"/>
                <c:pt idx="0">
                  <c:v>Temperatura crítica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Gráficos!$C$11:$Z$11</c:f>
              <c:numCache>
                <c:formatCode>General</c:formatCode>
                <c:ptCount val="24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2-4E21-A344-BE656352B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347135"/>
        <c:axId val="1888348095"/>
      </c:lineChart>
      <c:lineChart>
        <c:grouping val="standard"/>
        <c:varyColors val="0"/>
        <c:ser>
          <c:idx val="2"/>
          <c:order val="2"/>
          <c:tx>
            <c:strRef>
              <c:f>Gráficos!$A$8</c:f>
              <c:strCache>
                <c:ptCount val="1"/>
                <c:pt idx="0">
                  <c:v>Produção (%)</c:v>
                </c:pt>
              </c:strCache>
            </c:strRef>
          </c:tx>
          <c:spPr>
            <a:ln w="25400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Gráficos!$C$8:$Z$8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77.5</c:v>
                </c:pt>
                <c:pt idx="10">
                  <c:v>100</c:v>
                </c:pt>
                <c:pt idx="11">
                  <c:v>82.5</c:v>
                </c:pt>
                <c:pt idx="12">
                  <c:v>72.5</c:v>
                </c:pt>
                <c:pt idx="13">
                  <c:v>64.999999999999986</c:v>
                </c:pt>
                <c:pt idx="14">
                  <c:v>72.5</c:v>
                </c:pt>
                <c:pt idx="15">
                  <c:v>82.5</c:v>
                </c:pt>
                <c:pt idx="16">
                  <c:v>90</c:v>
                </c:pt>
                <c:pt idx="17">
                  <c:v>72.5</c:v>
                </c:pt>
                <c:pt idx="18">
                  <c:v>77.5</c:v>
                </c:pt>
                <c:pt idx="19">
                  <c:v>92.5</c:v>
                </c:pt>
                <c:pt idx="20">
                  <c:v>95</c:v>
                </c:pt>
                <c:pt idx="21">
                  <c:v>90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C-4001-B321-07B8BF636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957440"/>
        <c:axId val="1199949760"/>
      </c:lineChart>
      <c:catAx>
        <c:axId val="18883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8095"/>
        <c:crosses val="autoZero"/>
        <c:auto val="1"/>
        <c:lblAlgn val="ctr"/>
        <c:lblOffset val="100"/>
        <c:noMultiLvlLbl val="0"/>
      </c:catAx>
      <c:valAx>
        <c:axId val="18883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7135"/>
        <c:crosses val="autoZero"/>
        <c:crossBetween val="between"/>
      </c:valAx>
      <c:valAx>
        <c:axId val="11999497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Produção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9957440"/>
        <c:crosses val="max"/>
        <c:crossBetween val="between"/>
      </c:valAx>
      <c:catAx>
        <c:axId val="119995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19994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/>
                </a:solidFill>
              </a:rPr>
              <a:t>Sensor 4 - Temperatura ao longo do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Gráficos!$A$9</c:f>
              <c:strCache>
                <c:ptCount val="1"/>
                <c:pt idx="0">
                  <c:v>Temperatura (ºC)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Gráficos!$C$1:$Z$2</c:f>
              <c:multiLvlStrCache>
                <c:ptCount val="24"/>
                <c:lvl>
                  <c:pt idx="0">
                    <c:v>06/10/2025 00:00</c:v>
                  </c:pt>
                  <c:pt idx="1">
                    <c:v>06/10/2025 01:00</c:v>
                  </c:pt>
                  <c:pt idx="2">
                    <c:v>06/10/2025 02:00</c:v>
                  </c:pt>
                  <c:pt idx="3">
                    <c:v>06/10/2025 03:00</c:v>
                  </c:pt>
                  <c:pt idx="4">
                    <c:v>06/10/2025 04:00</c:v>
                  </c:pt>
                  <c:pt idx="5">
                    <c:v>06/10/2025 05:00</c:v>
                  </c:pt>
                  <c:pt idx="6">
                    <c:v>06/10/2025 06:00</c:v>
                  </c:pt>
                  <c:pt idx="7">
                    <c:v>06/10/2025 07:00</c:v>
                  </c:pt>
                  <c:pt idx="8">
                    <c:v>06/10/2025 08:00</c:v>
                  </c:pt>
                  <c:pt idx="9">
                    <c:v>06/10/2025 09:00</c:v>
                  </c:pt>
                  <c:pt idx="10">
                    <c:v>06/10/2025 10:00</c:v>
                  </c:pt>
                  <c:pt idx="11">
                    <c:v>06/10/2025 11:00</c:v>
                  </c:pt>
                  <c:pt idx="12">
                    <c:v>06/10/2025 12:00</c:v>
                  </c:pt>
                  <c:pt idx="13">
                    <c:v>06/10/2025 13:00</c:v>
                  </c:pt>
                  <c:pt idx="14">
                    <c:v>06/10/2025 14:00</c:v>
                  </c:pt>
                  <c:pt idx="15">
                    <c:v>06/10/2025 15:00</c:v>
                  </c:pt>
                  <c:pt idx="16">
                    <c:v>06/10/2025 16:00</c:v>
                  </c:pt>
                  <c:pt idx="17">
                    <c:v>06/10/2025 17:00</c:v>
                  </c:pt>
                  <c:pt idx="18">
                    <c:v>06/10/2025 18:00</c:v>
                  </c:pt>
                  <c:pt idx="19">
                    <c:v>06/10/2025 19:00</c:v>
                  </c:pt>
                  <c:pt idx="20">
                    <c:v>06/10/2025 20:00</c:v>
                  </c:pt>
                  <c:pt idx="21">
                    <c:v>06/10/2025 21:00</c:v>
                  </c:pt>
                  <c:pt idx="22">
                    <c:v>06/10/2025 22:00</c:v>
                  </c:pt>
                  <c:pt idx="23">
                    <c:v>06/10/2025 23:00</c:v>
                  </c:pt>
                </c:lvl>
                <c:lvl>
                  <c:pt idx="0">
                    <c:v>Data e Hora da coleta</c:v>
                  </c:pt>
                </c:lvl>
              </c:multiLvlStrCache>
            </c:multiLvlStrRef>
          </c:cat>
          <c:val>
            <c:numRef>
              <c:f>Gráficos!$C$9:$Z$9</c:f>
              <c:numCache>
                <c:formatCode>General</c:formatCode>
                <c:ptCount val="24"/>
                <c:pt idx="0">
                  <c:v>16</c:v>
                </c:pt>
                <c:pt idx="1">
                  <c:v>9</c:v>
                </c:pt>
                <c:pt idx="2">
                  <c:v>17</c:v>
                </c:pt>
                <c:pt idx="3">
                  <c:v>15</c:v>
                </c:pt>
                <c:pt idx="4">
                  <c:v>12</c:v>
                </c:pt>
                <c:pt idx="5">
                  <c:v>22</c:v>
                </c:pt>
                <c:pt idx="6">
                  <c:v>16</c:v>
                </c:pt>
                <c:pt idx="7">
                  <c:v>16</c:v>
                </c:pt>
                <c:pt idx="8">
                  <c:v>22</c:v>
                </c:pt>
                <c:pt idx="9">
                  <c:v>26</c:v>
                </c:pt>
                <c:pt idx="10">
                  <c:v>22</c:v>
                </c:pt>
                <c:pt idx="11">
                  <c:v>32</c:v>
                </c:pt>
                <c:pt idx="12">
                  <c:v>31</c:v>
                </c:pt>
                <c:pt idx="13">
                  <c:v>29</c:v>
                </c:pt>
                <c:pt idx="14">
                  <c:v>30</c:v>
                </c:pt>
                <c:pt idx="15">
                  <c:v>27</c:v>
                </c:pt>
                <c:pt idx="16">
                  <c:v>24</c:v>
                </c:pt>
                <c:pt idx="17">
                  <c:v>32</c:v>
                </c:pt>
                <c:pt idx="18">
                  <c:v>21</c:v>
                </c:pt>
                <c:pt idx="19">
                  <c:v>22</c:v>
                </c:pt>
                <c:pt idx="20">
                  <c:v>25</c:v>
                </c:pt>
                <c:pt idx="21">
                  <c:v>23</c:v>
                </c:pt>
                <c:pt idx="22">
                  <c:v>17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8-43DF-B5B8-533C0CF0E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88347135"/>
        <c:axId val="1888348095"/>
      </c:barChart>
      <c:lineChart>
        <c:grouping val="standard"/>
        <c:varyColors val="0"/>
        <c:ser>
          <c:idx val="1"/>
          <c:order val="1"/>
          <c:tx>
            <c:strRef>
              <c:f>Gráficos!$B$11</c:f>
              <c:strCache>
                <c:ptCount val="1"/>
                <c:pt idx="0">
                  <c:v>Temperatura crítica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Gráficos!$C$11:$Z$11</c:f>
              <c:numCache>
                <c:formatCode>General</c:formatCode>
                <c:ptCount val="24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8-43DF-B5B8-533C0CF0E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347135"/>
        <c:axId val="1888348095"/>
      </c:lineChart>
      <c:lineChart>
        <c:grouping val="standard"/>
        <c:varyColors val="0"/>
        <c:ser>
          <c:idx val="2"/>
          <c:order val="2"/>
          <c:tx>
            <c:strRef>
              <c:f>Gráficos!$A$10</c:f>
              <c:strCache>
                <c:ptCount val="1"/>
                <c:pt idx="0">
                  <c:v>Produção (%)</c:v>
                </c:pt>
              </c:strCache>
            </c:strRef>
          </c:tx>
          <c:spPr>
            <a:ln w="25400" cap="rnd">
              <a:solidFill>
                <a:schemeClr val="accent4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Gráficos!$C$10:$Z$10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95</c:v>
                </c:pt>
                <c:pt idx="6">
                  <c:v>100</c:v>
                </c:pt>
                <c:pt idx="7">
                  <c:v>100</c:v>
                </c:pt>
                <c:pt idx="8">
                  <c:v>95</c:v>
                </c:pt>
                <c:pt idx="9">
                  <c:v>85</c:v>
                </c:pt>
                <c:pt idx="10">
                  <c:v>95</c:v>
                </c:pt>
                <c:pt idx="11">
                  <c:v>70</c:v>
                </c:pt>
                <c:pt idx="12">
                  <c:v>72.5</c:v>
                </c:pt>
                <c:pt idx="13">
                  <c:v>77.5</c:v>
                </c:pt>
                <c:pt idx="14">
                  <c:v>75</c:v>
                </c:pt>
                <c:pt idx="15">
                  <c:v>82.5</c:v>
                </c:pt>
                <c:pt idx="16">
                  <c:v>90</c:v>
                </c:pt>
                <c:pt idx="17">
                  <c:v>70</c:v>
                </c:pt>
                <c:pt idx="18">
                  <c:v>97.5</c:v>
                </c:pt>
                <c:pt idx="19">
                  <c:v>95</c:v>
                </c:pt>
                <c:pt idx="20">
                  <c:v>87.5</c:v>
                </c:pt>
                <c:pt idx="21">
                  <c:v>92.5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A-4785-A45E-8B36D00AD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011423"/>
        <c:axId val="816012383"/>
      </c:lineChart>
      <c:catAx>
        <c:axId val="18883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8095"/>
        <c:crosses val="autoZero"/>
        <c:auto val="1"/>
        <c:lblAlgn val="ctr"/>
        <c:lblOffset val="100"/>
        <c:noMultiLvlLbl val="0"/>
      </c:catAx>
      <c:valAx>
        <c:axId val="18883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8347135"/>
        <c:crosses val="autoZero"/>
        <c:crossBetween val="between"/>
      </c:valAx>
      <c:valAx>
        <c:axId val="8160123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Produção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011423"/>
        <c:crosses val="max"/>
        <c:crossBetween val="between"/>
      </c:valAx>
      <c:catAx>
        <c:axId val="816011423"/>
        <c:scaling>
          <c:orientation val="minMax"/>
        </c:scaling>
        <c:delete val="1"/>
        <c:axPos val="b"/>
        <c:majorTickMark val="out"/>
        <c:minorTickMark val="none"/>
        <c:tickLblPos val="nextTo"/>
        <c:crossAx val="81601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Gráficos!$AC$2</c:f>
              <c:strCache>
                <c:ptCount val="1"/>
                <c:pt idx="0">
                  <c:v>Produção média diária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F4-418E-86EB-F1243B7951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F4-418E-86EB-F1243B7951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13D-41F0-988B-40A124F005E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13D-41F0-988B-40A124F005E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Gráficos!$B$3:$B$10</c15:sqref>
                  </c15:fullRef>
                </c:ext>
              </c:extLst>
              <c:f>(Gráficos!$B$3,Gráficos!$B$5,Gráficos!$B$7,Gráficos!$B$9)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Gráficos!$AC$3:$AC$10</c15:sqref>
                  </c15:fullRef>
                </c:ext>
              </c:extLst>
              <c:f>(Gráficos!$AC$3,Gráficos!$AC$5,Gráficos!$AC$7,Gráficos!$AC$9)</c:f>
              <c:numCache>
                <c:formatCode>0.0</c:formatCode>
                <c:ptCount val="4"/>
                <c:pt idx="0">
                  <c:v>91.145833333333329</c:v>
                </c:pt>
                <c:pt idx="1">
                  <c:v>90.3125</c:v>
                </c:pt>
                <c:pt idx="2">
                  <c:v>90.416666666666671</c:v>
                </c:pt>
                <c:pt idx="3">
                  <c:v>90.833333333333329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4-418E-86EB-F1243B795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8679520"/>
        <c:axId val="1448680000"/>
      </c:barChart>
      <c:catAx>
        <c:axId val="144867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Sensor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680000"/>
        <c:crosses val="autoZero"/>
        <c:auto val="1"/>
        <c:lblAlgn val="ctr"/>
        <c:lblOffset val="100"/>
        <c:noMultiLvlLbl val="0"/>
      </c:catAx>
      <c:valAx>
        <c:axId val="14486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Produção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6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Gráficos!$AB$2</c:f>
              <c:strCache>
                <c:ptCount val="1"/>
                <c:pt idx="0">
                  <c:v>Temperatura média diária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2E-40C7-AB07-2D247841E2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2E-40C7-AB07-2D247841E2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82E-40C7-AB07-2D247841E2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2E-40C7-AB07-2D247841E2D6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Gráficos!$B$3:$B$10</c15:sqref>
                  </c15:fullRef>
                </c:ext>
              </c:extLst>
              <c:f>(Gráficos!$B$3,Gráficos!$B$5,Gráficos!$B$7,Gráficos!$B$9)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Gráficos!$AB$3:$AB$10</c15:sqref>
                  </c15:fullRef>
                </c:ext>
              </c:extLst>
              <c:f>(Gráficos!$AB$3,Gráficos!$AB$5,Gráficos!$AB$7,Gráficos!$AB$9)</c:f>
              <c:numCache>
                <c:formatCode>0.0</c:formatCode>
                <c:ptCount val="4"/>
                <c:pt idx="0">
                  <c:v>21.958333333333332</c:v>
                </c:pt>
                <c:pt idx="1">
                  <c:v>21.625</c:v>
                </c:pt>
                <c:pt idx="2">
                  <c:v>21.166666666666668</c:v>
                </c:pt>
                <c:pt idx="3">
                  <c:v>21.791666666666668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2E-40C7-AB07-2D247841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8679520"/>
        <c:axId val="1448680000"/>
      </c:barChart>
      <c:catAx>
        <c:axId val="144867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Sensor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680000"/>
        <c:crosses val="autoZero"/>
        <c:auto val="1"/>
        <c:lblAlgn val="ctr"/>
        <c:lblOffset val="100"/>
        <c:noMultiLvlLbl val="0"/>
      </c:catAx>
      <c:valAx>
        <c:axId val="14486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  <a:r>
                  <a:rPr lang="pt-BR" baseline="0"/>
                  <a:t> (ºC)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6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alerts no</a:t>
            </a:r>
            <a:r>
              <a:rPr lang="en-US" baseline="0"/>
              <a:t> dia </a:t>
            </a:r>
          </a:p>
          <a:p>
            <a:pPr>
              <a:defRPr/>
            </a:pPr>
            <a:r>
              <a:rPr lang="en-US" baseline="0"/>
              <a:t>(Temperatura acima de 27ºC)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Gráficos!$AA$2</c:f>
              <c:strCache>
                <c:ptCount val="1"/>
                <c:pt idx="0">
                  <c:v>Alerts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4-461F-B652-BE174A1BA36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44-461F-B652-BE174A1BA36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44-461F-B652-BE174A1BA365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Gráficos!$B$3:$B$10</c15:sqref>
                  </c15:fullRef>
                </c:ext>
              </c:extLst>
              <c:f>(Gráficos!$B$3,Gráficos!$B$5,Gráficos!$B$7,Gráficos!$B$9)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Gráficos!$AA$3:$AA$10</c15:sqref>
                  </c15:fullRef>
                </c:ext>
              </c:extLst>
              <c:f>(Gráficos!$AA$3,Gráficos!$AA$5,Gráficos!$AA$7,Gráficos!$AA$9)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44-461F-B652-BE174A1B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8679520"/>
        <c:axId val="1448680000"/>
      </c:barChart>
      <c:catAx>
        <c:axId val="144867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Sensor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680000"/>
        <c:crosses val="autoZero"/>
        <c:auto val="1"/>
        <c:lblAlgn val="ctr"/>
        <c:lblOffset val="100"/>
        <c:noMultiLvlLbl val="0"/>
      </c:catAx>
      <c:valAx>
        <c:axId val="14486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 de alerts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6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573678</xdr:colOff>
      <xdr:row>38</xdr:row>
      <xdr:rowOff>11529</xdr:rowOff>
    </xdr:from>
    <xdr:to>
      <xdr:col>20</xdr:col>
      <xdr:colOff>15240</xdr:colOff>
      <xdr:row>60</xdr:row>
      <xdr:rowOff>37012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92EC6D1-9DED-30D0-C658-831F432BB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10884</xdr:colOff>
      <xdr:row>37</xdr:row>
      <xdr:rowOff>227611</xdr:rowOff>
    </xdr:from>
    <xdr:to>
      <xdr:col>29</xdr:col>
      <xdr:colOff>1055913</xdr:colOff>
      <xdr:row>60</xdr:row>
      <xdr:rowOff>21723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4CA9916-3314-49B9-BB7F-5B89BE499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555172</xdr:colOff>
      <xdr:row>62</xdr:row>
      <xdr:rowOff>180110</xdr:rowOff>
    </xdr:from>
    <xdr:to>
      <xdr:col>19</xdr:col>
      <xdr:colOff>334191</xdr:colOff>
      <xdr:row>84</xdr:row>
      <xdr:rowOff>54380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0951BEC-3055-4E62-A201-0DFAC6E33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10886</xdr:colOff>
      <xdr:row>62</xdr:row>
      <xdr:rowOff>180109</xdr:rowOff>
    </xdr:from>
    <xdr:to>
      <xdr:col>29</xdr:col>
      <xdr:colOff>1077686</xdr:colOff>
      <xdr:row>84</xdr:row>
      <xdr:rowOff>54379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7350374-AEFF-4BC0-A753-465FEDA98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7916</xdr:colOff>
      <xdr:row>14</xdr:row>
      <xdr:rowOff>7916</xdr:rowOff>
    </xdr:from>
    <xdr:to>
      <xdr:col>18</xdr:col>
      <xdr:colOff>280059</xdr:colOff>
      <xdr:row>19</xdr:row>
      <xdr:rowOff>203860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93233B26-A515-EBE0-9A55-C6855D50DD1A}"/>
            </a:ext>
          </a:extLst>
        </xdr:cNvPr>
        <xdr:cNvSpPr/>
      </xdr:nvSpPr>
      <xdr:spPr>
        <a:xfrm>
          <a:off x="5203371" y="2640280"/>
          <a:ext cx="1602179" cy="137358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SENSOR 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QUANTIDADE</a:t>
          </a: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ALERTS: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endParaRPr lang="pt-BR" sz="1400">
            <a:effectLst/>
          </a:endParaRPr>
        </a:p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18803</xdr:colOff>
      <xdr:row>14</xdr:row>
      <xdr:rowOff>7918</xdr:rowOff>
    </xdr:from>
    <xdr:to>
      <xdr:col>12</xdr:col>
      <xdr:colOff>290946</xdr:colOff>
      <xdr:row>19</xdr:row>
      <xdr:rowOff>203862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BE98AF68-0B04-4650-9516-C8D7BE397CB7}"/>
            </a:ext>
          </a:extLst>
        </xdr:cNvPr>
        <xdr:cNvSpPr/>
      </xdr:nvSpPr>
      <xdr:spPr>
        <a:xfrm>
          <a:off x="3219203" y="2640282"/>
          <a:ext cx="1602179" cy="137358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SENSOR 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QUANTIDADE</a:t>
          </a: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ALERTS: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endParaRPr lang="pt-BR" sz="1400">
            <a:effectLst/>
          </a:endParaRPr>
        </a:p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</xdr:col>
      <xdr:colOff>18804</xdr:colOff>
      <xdr:row>13</xdr:row>
      <xdr:rowOff>190994</xdr:rowOff>
    </xdr:from>
    <xdr:to>
      <xdr:col>6</xdr:col>
      <xdr:colOff>290947</xdr:colOff>
      <xdr:row>19</xdr:row>
      <xdr:rowOff>192974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EE4692DD-95DD-40CA-8EC7-78EF801A9A86}"/>
            </a:ext>
          </a:extLst>
        </xdr:cNvPr>
        <xdr:cNvSpPr/>
      </xdr:nvSpPr>
      <xdr:spPr>
        <a:xfrm>
          <a:off x="1224149" y="2629394"/>
          <a:ext cx="1602180" cy="137358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SENSOR 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QUANTIDADE</a:t>
          </a: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ALERTS: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endParaRPr lang="pt-BR" sz="1400">
            <a:effectLst/>
          </a:endParaRPr>
        </a:p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19</xdr:col>
      <xdr:colOff>312715</xdr:colOff>
      <xdr:row>14</xdr:row>
      <xdr:rowOff>7916</xdr:rowOff>
    </xdr:from>
    <xdr:to>
      <xdr:col>24</xdr:col>
      <xdr:colOff>258287</xdr:colOff>
      <xdr:row>19</xdr:row>
      <xdr:rowOff>203860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CD818292-463C-44A7-9B80-E3E3F3E77A95}"/>
            </a:ext>
          </a:extLst>
        </xdr:cNvPr>
        <xdr:cNvSpPr/>
      </xdr:nvSpPr>
      <xdr:spPr>
        <a:xfrm>
          <a:off x="7170715" y="2640280"/>
          <a:ext cx="1608117" cy="137358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SENSOR 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QUANTIDADE</a:t>
          </a: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ALERTS: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endParaRPr lang="pt-BR" sz="1400">
            <a:effectLst/>
          </a:endParaRPr>
        </a:p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25</xdr:col>
      <xdr:colOff>332510</xdr:colOff>
      <xdr:row>14</xdr:row>
      <xdr:rowOff>13855</xdr:rowOff>
    </xdr:from>
    <xdr:to>
      <xdr:col>26</xdr:col>
      <xdr:colOff>1543051</xdr:colOff>
      <xdr:row>19</xdr:row>
      <xdr:rowOff>209799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D9EA884B-38EA-4472-8295-034760BBD007}"/>
            </a:ext>
            <a:ext uri="{147F2762-F138-4A5C-976F-8EAC2B608ADB}">
              <a16:predDERef xmlns:a16="http://schemas.microsoft.com/office/drawing/2014/main" pred="{0B5DD489-9E41-DCC7-AD87-DB2944AA8EFC}"/>
            </a:ext>
          </a:extLst>
        </xdr:cNvPr>
        <xdr:cNvSpPr/>
      </xdr:nvSpPr>
      <xdr:spPr>
        <a:xfrm>
          <a:off x="10257560" y="3376180"/>
          <a:ext cx="1543916" cy="1338944"/>
        </a:xfrm>
        <a:prstGeom prst="roundRect">
          <a:avLst/>
        </a:prstGeom>
        <a:solidFill>
          <a:srgbClr val="FB89A4"/>
        </a:solidFill>
        <a:ln>
          <a:solidFill>
            <a:srgbClr val="DA000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TEMPERATURA MAIS ALTA: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34ºC</a:t>
          </a:r>
          <a:endParaRPr lang="pt-BR" sz="1400">
            <a:effectLst/>
          </a:endParaRPr>
        </a:p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26</xdr:col>
      <xdr:colOff>914399</xdr:colOff>
      <xdr:row>22</xdr:row>
      <xdr:rowOff>0</xdr:rowOff>
    </xdr:from>
    <xdr:to>
      <xdr:col>29</xdr:col>
      <xdr:colOff>1567542</xdr:colOff>
      <xdr:row>35</xdr:row>
      <xdr:rowOff>136072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3672790-5EB3-246A-3B69-F9B52C9B1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337456</xdr:colOff>
      <xdr:row>22</xdr:row>
      <xdr:rowOff>-1</xdr:rowOff>
    </xdr:from>
    <xdr:to>
      <xdr:col>26</xdr:col>
      <xdr:colOff>576942</xdr:colOff>
      <xdr:row>35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58B147-7B00-4A4D-A0A6-6DCB61D22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674915</xdr:colOff>
      <xdr:row>22</xdr:row>
      <xdr:rowOff>-1</xdr:rowOff>
    </xdr:from>
    <xdr:to>
      <xdr:col>12</xdr:col>
      <xdr:colOff>1</xdr:colOff>
      <xdr:row>35</xdr:row>
      <xdr:rowOff>136071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4895C5-223E-45A2-BCF2-1462B985F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E4D9-44AD-49F6-8863-D5B33F61336F}">
  <dimension ref="A1:AC38"/>
  <sheetViews>
    <sheetView tabSelected="1" topLeftCell="A2" zoomScale="50" zoomScaleNormal="50" workbookViewId="0">
      <selection activeCell="AD23" sqref="AD23"/>
    </sheetView>
  </sheetViews>
  <sheetFormatPr defaultColWidth="56.33203125" defaultRowHeight="14.4" x14ac:dyDescent="0.3"/>
  <cols>
    <col min="1" max="1" width="15.33203125" style="26" bestFit="1" customWidth="1"/>
    <col min="2" max="2" width="17.6640625" style="26" bestFit="1" customWidth="1"/>
    <col min="3" max="26" width="4.88671875" style="26" bestFit="1" customWidth="1"/>
    <col min="27" max="27" width="25.33203125" style="26" customWidth="1"/>
    <col min="28" max="28" width="18.109375" style="26" customWidth="1"/>
    <col min="29" max="29" width="19.33203125" style="26" bestFit="1" customWidth="1"/>
    <col min="30" max="16384" width="56.33203125" style="26"/>
  </cols>
  <sheetData>
    <row r="1" spans="1:29" ht="18" x14ac:dyDescent="0.3">
      <c r="C1" s="27" t="s">
        <v>2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9" s="10" customFormat="1" ht="74.400000000000006" customHeight="1" x14ac:dyDescent="0.3">
      <c r="B2" s="11" t="s">
        <v>1</v>
      </c>
      <c r="C2" s="2">
        <v>45936</v>
      </c>
      <c r="D2" s="2">
        <f>C2+TIME(1,0,0)</f>
        <v>45936.041666666664</v>
      </c>
      <c r="E2" s="2">
        <f t="shared" ref="E2:Z2" si="0">D2+TIME(1,0,0)</f>
        <v>45936.083333333328</v>
      </c>
      <c r="F2" s="2">
        <f t="shared" si="0"/>
        <v>45936.124999999993</v>
      </c>
      <c r="G2" s="2">
        <f t="shared" si="0"/>
        <v>45936.166666666657</v>
      </c>
      <c r="H2" s="2">
        <f t="shared" si="0"/>
        <v>45936.208333333321</v>
      </c>
      <c r="I2" s="2">
        <f t="shared" si="0"/>
        <v>45936.249999999985</v>
      </c>
      <c r="J2" s="2">
        <f t="shared" si="0"/>
        <v>45936.29166666665</v>
      </c>
      <c r="K2" s="2">
        <f t="shared" si="0"/>
        <v>45936.333333333314</v>
      </c>
      <c r="L2" s="2">
        <f t="shared" si="0"/>
        <v>45936.374999999978</v>
      </c>
      <c r="M2" s="2">
        <f t="shared" si="0"/>
        <v>45936.416666666642</v>
      </c>
      <c r="N2" s="2">
        <f t="shared" si="0"/>
        <v>45936.458333333307</v>
      </c>
      <c r="O2" s="2">
        <f t="shared" si="0"/>
        <v>45936.499999999971</v>
      </c>
      <c r="P2" s="2">
        <f t="shared" si="0"/>
        <v>45936.541666666635</v>
      </c>
      <c r="Q2" s="2">
        <f t="shared" si="0"/>
        <v>45936.583333333299</v>
      </c>
      <c r="R2" s="2">
        <f t="shared" si="0"/>
        <v>45936.624999999964</v>
      </c>
      <c r="S2" s="2">
        <f t="shared" si="0"/>
        <v>45936.666666666628</v>
      </c>
      <c r="T2" s="2">
        <f t="shared" si="0"/>
        <v>45936.708333333292</v>
      </c>
      <c r="U2" s="2">
        <f t="shared" si="0"/>
        <v>45936.749999999956</v>
      </c>
      <c r="V2" s="2">
        <f t="shared" si="0"/>
        <v>45936.791666666621</v>
      </c>
      <c r="W2" s="2">
        <f t="shared" si="0"/>
        <v>45936.833333333285</v>
      </c>
      <c r="X2" s="2">
        <f t="shared" si="0"/>
        <v>45936.874999999949</v>
      </c>
      <c r="Y2" s="2">
        <f t="shared" si="0"/>
        <v>45936.916666666613</v>
      </c>
      <c r="Z2" s="2">
        <f t="shared" si="0"/>
        <v>45936.958333333278</v>
      </c>
      <c r="AA2" s="12" t="s">
        <v>9</v>
      </c>
      <c r="AB2" s="11" t="s">
        <v>14</v>
      </c>
      <c r="AC2" s="11" t="s">
        <v>15</v>
      </c>
    </row>
    <row r="3" spans="1:29" x14ac:dyDescent="0.3">
      <c r="A3" s="9" t="s">
        <v>12</v>
      </c>
      <c r="B3" s="28">
        <v>1</v>
      </c>
      <c r="C3" s="9" cm="1">
        <f t="array" ref="C3">_xlfn.XLOOKUP(1,(Dados!$B$3:$B$98=$B$3)*(Dados!$C$3:$C$98=C2),Dados!$D$3:$D$98,"")</f>
        <v>10</v>
      </c>
      <c r="D3" s="9" cm="1">
        <f t="array" ref="D3">_xlfn.XLOOKUP(1,(Dados!$B$3:$B$98=$B$3)*(Dados!$C$3:$C$98=D2),Dados!$D$3:$D$98,"")</f>
        <v>7</v>
      </c>
      <c r="E3" s="9" cm="1">
        <f t="array" ref="E3">_xlfn.XLOOKUP(1,(Dados!$B$3:$B$98=$B$3)*(Dados!$C$3:$C$98=E2),Dados!$D$3:$D$98,"")</f>
        <v>18</v>
      </c>
      <c r="F3" s="9" cm="1">
        <f t="array" ref="F3">_xlfn.XLOOKUP(1,(Dados!$B$3:$B$98=$B$3)*(Dados!$C$3:$C$98=F2),Dados!$D$3:$D$98,"")</f>
        <v>18</v>
      </c>
      <c r="G3" s="9" cm="1">
        <f t="array" ref="G3">_xlfn.XLOOKUP(1,(Dados!$B$3:$B$98=$B$3)*(Dados!$C$3:$C$98=G2),Dados!$D$3:$D$98,"")</f>
        <v>19</v>
      </c>
      <c r="H3" s="9" cm="1">
        <f t="array" ref="H3">_xlfn.XLOOKUP(1,(Dados!$B$3:$B$98=$B$3)*(Dados!$C$3:$C$98=H2),Dados!$D$3:$D$98,"")</f>
        <v>21</v>
      </c>
      <c r="I3" s="9" cm="1">
        <f t="array" ref="I3">_xlfn.XLOOKUP(1,(Dados!$B$3:$B$98=$B$3)*(Dados!$C$3:$C$98=I2),Dados!$D$3:$D$98,"")</f>
        <v>16</v>
      </c>
      <c r="J3" s="9" cm="1">
        <f t="array" ref="J3">_xlfn.XLOOKUP(1,(Dados!$B$3:$B$98=$B$3)*(Dados!$C$3:$C$98=J2),Dados!$D$3:$D$98,"")</f>
        <v>21</v>
      </c>
      <c r="K3" s="9" cm="1">
        <f t="array" ref="K3">_xlfn.XLOOKUP(1,(Dados!$B$3:$B$98=$B$3)*(Dados!$C$3:$C$98=K2),Dados!$D$3:$D$98,"")</f>
        <v>25</v>
      </c>
      <c r="L3" s="9" cm="1">
        <f t="array" ref="L3">_xlfn.XLOOKUP(1,(Dados!$B$3:$B$98=$B$3)*(Dados!$C$3:$C$98=L2),Dados!$D$3:$D$98,"")</f>
        <v>24</v>
      </c>
      <c r="M3" s="9" cm="1">
        <f t="array" ref="M3">_xlfn.XLOOKUP(1,(Dados!$B$3:$B$98=$B$3)*(Dados!$C$3:$C$98=M2),Dados!$D$3:$D$98,"")</f>
        <v>26</v>
      </c>
      <c r="N3" s="9" cm="1">
        <f t="array" ref="N3">_xlfn.XLOOKUP(1,(Dados!$B$3:$B$98=$B$3)*(Dados!$C$3:$C$98=N2),Dados!$D$3:$D$98,"")</f>
        <v>26</v>
      </c>
      <c r="O3" s="9" cm="1">
        <f t="array" ref="O3">_xlfn.XLOOKUP(1,(Dados!$B$3:$B$98=$B$3)*(Dados!$C$3:$C$98=O2),Dados!$D$3:$D$98,"")</f>
        <v>28</v>
      </c>
      <c r="P3" s="9" cm="1">
        <f t="array" ref="P3">_xlfn.XLOOKUP(1,(Dados!$B$3:$B$98=$B$3)*(Dados!$C$3:$C$98=P2),Dados!$D$3:$D$98,"")</f>
        <v>24</v>
      </c>
      <c r="Q3" s="9" cm="1">
        <f t="array" ref="Q3">_xlfn.XLOOKUP(1,(Dados!$B$3:$B$98=$B$3)*(Dados!$C$3:$C$98=Q2),Dados!$D$3:$D$98,"")</f>
        <v>34</v>
      </c>
      <c r="R3" s="9" cm="1">
        <f t="array" ref="R3">_xlfn.XLOOKUP(1,(Dados!$B$3:$B$98=$B$3)*(Dados!$C$3:$C$98=R2),Dados!$D$3:$D$98,"")</f>
        <v>33</v>
      </c>
      <c r="S3" s="9" cm="1">
        <f t="array" ref="S3">_xlfn.XLOOKUP(1,(Dados!$B$3:$B$98=$B$3)*(Dados!$C$3:$C$98=S2),Dados!$D$3:$D$98,"")</f>
        <v>29</v>
      </c>
      <c r="T3" s="9" cm="1">
        <f t="array" ref="T3">_xlfn.XLOOKUP(1,(Dados!$B$3:$B$98=$B$3)*(Dados!$C$3:$C$98=T2),Dados!$D$3:$D$98,"")</f>
        <v>23</v>
      </c>
      <c r="U3" s="9" cm="1">
        <f t="array" ref="U3">_xlfn.XLOOKUP(1,(Dados!$B$3:$B$98=$B$3)*(Dados!$C$3:$C$98=U2),Dados!$D$3:$D$98,"")</f>
        <v>23</v>
      </c>
      <c r="V3" s="9" cm="1">
        <f t="array" ref="V3">_xlfn.XLOOKUP(1,(Dados!$B$3:$B$98=$B$3)*(Dados!$C$3:$C$98=V2),Dados!$D$3:$D$98,"")</f>
        <v>22</v>
      </c>
      <c r="W3" s="9" cm="1">
        <f t="array" ref="W3">_xlfn.XLOOKUP(1,(Dados!$B$3:$B$98=$B$3)*(Dados!$C$3:$C$98=W2),Dados!$D$3:$D$98,"")</f>
        <v>24</v>
      </c>
      <c r="X3" s="9" cm="1">
        <f t="array" ref="X3">_xlfn.XLOOKUP(1,(Dados!$B$3:$B$98=$B$3)*(Dados!$C$3:$C$98=X2),Dados!$D$3:$D$98,"")</f>
        <v>22</v>
      </c>
      <c r="Y3" s="9" cm="1">
        <f t="array" ref="Y3">_xlfn.XLOOKUP(1,(Dados!$B$3:$B$98=$B$3)*(Dados!$C$3:$C$98=Y2),Dados!$D$3:$D$98,"")</f>
        <v>18</v>
      </c>
      <c r="Z3" s="9" cm="1">
        <f t="array" ref="Z3">_xlfn.XLOOKUP(1,(Dados!$B$3:$B$98=$B$3)*(Dados!$C$3:$C$98=Z2),Dados!$D$3:$D$98,"")</f>
        <v>16</v>
      </c>
      <c r="AA3" s="18">
        <f>COUNTIF(C3:Z3,"&gt;27")</f>
        <v>4</v>
      </c>
      <c r="AB3" s="22">
        <f>AVERAGE(C3:Z3)</f>
        <v>21.958333333333332</v>
      </c>
      <c r="AC3" s="22">
        <f>AVERAGE(C4:Z4)</f>
        <v>91.145833333333329</v>
      </c>
    </row>
    <row r="4" spans="1:29" x14ac:dyDescent="0.3">
      <c r="A4" s="14" t="s">
        <v>13</v>
      </c>
      <c r="B4" s="28"/>
      <c r="C4" s="9" cm="1">
        <f t="array" ref="C4">_xlfn.XLOOKUP(1,(Dados!$B$3:$B$98=$B$3)*(Dados!$C$3:$C$98=C2),Dados!$G$3:$G$98,"")</f>
        <v>100</v>
      </c>
      <c r="D4" s="9" cm="1">
        <f t="array" ref="D4">_xlfn.XLOOKUP(1,(Dados!$B$3:$B$98=$B$3)*(Dados!$C$3:$C$98=D2),Dados!$G$3:$G$98,"")</f>
        <v>100</v>
      </c>
      <c r="E4" s="9" cm="1">
        <f t="array" ref="E4">_xlfn.XLOOKUP(1,(Dados!$B$3:$B$98=$B$3)*(Dados!$C$3:$C$98=E2),Dados!$G$3:$G$98,"")</f>
        <v>100</v>
      </c>
      <c r="F4" s="9" cm="1">
        <f t="array" ref="F4">_xlfn.XLOOKUP(1,(Dados!$B$3:$B$98=$B$3)*(Dados!$C$3:$C$98=F2),Dados!$G$3:$G$98,"")</f>
        <v>100</v>
      </c>
      <c r="G4" s="9" cm="1">
        <f t="array" ref="G4">_xlfn.XLOOKUP(1,(Dados!$B$3:$B$98=$B$3)*(Dados!$C$3:$C$98=G2),Dados!$G$3:$G$98,"")</f>
        <v>100</v>
      </c>
      <c r="H4" s="9" cm="1">
        <f t="array" ref="H4">_xlfn.XLOOKUP(1,(Dados!$B$3:$B$98=$B$3)*(Dados!$C$3:$C$98=H2),Dados!$G$3:$G$98,"")</f>
        <v>97.5</v>
      </c>
      <c r="I4" s="9" cm="1">
        <f t="array" ref="I4">_xlfn.XLOOKUP(1,(Dados!$B$3:$B$98=$B$3)*(Dados!$C$3:$C$98=I2),Dados!$G$3:$G$98,"")</f>
        <v>100</v>
      </c>
      <c r="J4" s="9" cm="1">
        <f t="array" ref="J4">_xlfn.XLOOKUP(1,(Dados!$B$3:$B$98=$B$3)*(Dados!$C$3:$C$98=J2),Dados!$G$3:$G$98,"")</f>
        <v>97.5</v>
      </c>
      <c r="K4" s="9" cm="1">
        <f t="array" ref="K4">_xlfn.XLOOKUP(1,(Dados!$B$3:$B$98=$B$3)*(Dados!$C$3:$C$98=K2),Dados!$G$3:$G$98,"")</f>
        <v>87.5</v>
      </c>
      <c r="L4" s="9" cm="1">
        <f t="array" ref="L4">_xlfn.XLOOKUP(1,(Dados!$B$3:$B$98=$B$3)*(Dados!$C$3:$C$98=L2),Dados!$G$3:$G$98,"")</f>
        <v>90</v>
      </c>
      <c r="M4" s="9" cm="1">
        <f t="array" ref="M4">_xlfn.XLOOKUP(1,(Dados!$B$3:$B$98=$B$3)*(Dados!$C$3:$C$98=M2),Dados!$G$3:$G$98,"")</f>
        <v>85</v>
      </c>
      <c r="N4" s="9" cm="1">
        <f t="array" ref="N4">_xlfn.XLOOKUP(1,(Dados!$B$3:$B$98=$B$3)*(Dados!$C$3:$C$98=N2),Dados!$G$3:$G$98,"")</f>
        <v>85</v>
      </c>
      <c r="O4" s="9" cm="1">
        <f t="array" ref="O4">_xlfn.XLOOKUP(1,(Dados!$B$3:$B$98=$B$3)*(Dados!$C$3:$C$98=O2),Dados!$G$3:$G$98,"")</f>
        <v>80</v>
      </c>
      <c r="P4" s="9" cm="1">
        <f t="array" ref="P4">_xlfn.XLOOKUP(1,(Dados!$B$3:$B$98=$B$3)*(Dados!$C$3:$C$98=P2),Dados!$G$3:$G$98,"")</f>
        <v>90</v>
      </c>
      <c r="Q4" s="9" cm="1">
        <f t="array" ref="Q4">_xlfn.XLOOKUP(1,(Dados!$B$3:$B$98=$B$3)*(Dados!$C$3:$C$98=Q2),Dados!$G$3:$G$98,"")</f>
        <v>64.999999999999986</v>
      </c>
      <c r="R4" s="9" cm="1">
        <f t="array" ref="R4">_xlfn.XLOOKUP(1,(Dados!$B$3:$B$98=$B$3)*(Dados!$C$3:$C$98=R2),Dados!$G$3:$G$98,"")</f>
        <v>67.5</v>
      </c>
      <c r="S4" s="9" cm="1">
        <f t="array" ref="S4">_xlfn.XLOOKUP(1,(Dados!$B$3:$B$98=$B$3)*(Dados!$C$3:$C$98=S2),Dados!$G$3:$G$98,"")</f>
        <v>77.5</v>
      </c>
      <c r="T4" s="9" cm="1">
        <f t="array" ref="T4">_xlfn.XLOOKUP(1,(Dados!$B$3:$B$98=$B$3)*(Dados!$C$3:$C$98=T2),Dados!$G$3:$G$98,"")</f>
        <v>92.5</v>
      </c>
      <c r="U4" s="9" cm="1">
        <f t="array" ref="U4">_xlfn.XLOOKUP(1,(Dados!$B$3:$B$98=$B$3)*(Dados!$C$3:$C$98=U2),Dados!$G$3:$G$98,"")</f>
        <v>92.5</v>
      </c>
      <c r="V4" s="9" cm="1">
        <f t="array" ref="V4">_xlfn.XLOOKUP(1,(Dados!$B$3:$B$98=$B$3)*(Dados!$C$3:$C$98=V2),Dados!$G$3:$G$98,"")</f>
        <v>95</v>
      </c>
      <c r="W4" s="9" cm="1">
        <f t="array" ref="W4">_xlfn.XLOOKUP(1,(Dados!$B$3:$B$98=$B$3)*(Dados!$C$3:$C$98=W2),Dados!$G$3:$G$98,"")</f>
        <v>90</v>
      </c>
      <c r="X4" s="9" cm="1">
        <f t="array" ref="X4">_xlfn.XLOOKUP(1,(Dados!$B$3:$B$98=$B$3)*(Dados!$C$3:$C$98=X2),Dados!$G$3:$G$98,"")</f>
        <v>95</v>
      </c>
      <c r="Y4" s="9" cm="1">
        <f t="array" ref="Y4">_xlfn.XLOOKUP(1,(Dados!$B$3:$B$98=$B$3)*(Dados!$C$3:$C$98=Y2),Dados!$G$3:$G$98,"")</f>
        <v>100</v>
      </c>
      <c r="Z4" s="9" cm="1">
        <f t="array" ref="Z4">_xlfn.XLOOKUP(1,(Dados!$B$3:$B$98=$B$3)*(Dados!$C$3:$C$98=Z2),Dados!$G$3:$G$98,"")</f>
        <v>100</v>
      </c>
      <c r="AA4" s="18"/>
      <c r="AB4" s="22"/>
      <c r="AC4" s="22"/>
    </row>
    <row r="5" spans="1:29" x14ac:dyDescent="0.3">
      <c r="A5" s="3" t="s">
        <v>12</v>
      </c>
      <c r="B5" s="29">
        <v>2</v>
      </c>
      <c r="C5" s="3" cm="1">
        <f t="array" ref="C5">_xlfn.XLOOKUP(1,(Dados!$B$3:$B$98=$B$5)*(Dados!$C$3:$C$98=C2),Dados!$D$3:$D$98,"")</f>
        <v>11</v>
      </c>
      <c r="D5" s="3" cm="1">
        <f t="array" ref="D5">_xlfn.XLOOKUP(1,(Dados!$B$3:$B$98=$B$5)*(Dados!$C$3:$C$98=D2),Dados!$D$3:$D$98,"")</f>
        <v>18</v>
      </c>
      <c r="E5" s="3" cm="1">
        <f t="array" ref="E5">_xlfn.XLOOKUP(1,(Dados!$B$3:$B$98=$B$5)*(Dados!$C$3:$C$98=E2),Dados!$D$3:$D$98,"")</f>
        <v>17</v>
      </c>
      <c r="F5" s="3" cm="1">
        <f t="array" ref="F5">_xlfn.XLOOKUP(1,(Dados!$B$3:$B$98=$B$5)*(Dados!$C$3:$C$98=F2),Dados!$D$3:$D$98,"")</f>
        <v>12</v>
      </c>
      <c r="G5" s="3" cm="1">
        <f t="array" ref="G5">_xlfn.XLOOKUP(1,(Dados!$B$3:$B$98=$B$5)*(Dados!$C$3:$C$98=G2),Dados!$D$3:$D$98,"")</f>
        <v>11</v>
      </c>
      <c r="H5" s="3" cm="1">
        <f t="array" ref="H5">_xlfn.XLOOKUP(1,(Dados!$B$3:$B$98=$B$5)*(Dados!$C$3:$C$98=H2),Dados!$D$3:$D$98,"")</f>
        <v>12</v>
      </c>
      <c r="I5" s="3" cm="1">
        <f t="array" ref="I5">_xlfn.XLOOKUP(1,(Dados!$B$3:$B$98=$B$5)*(Dados!$C$3:$C$98=I2),Dados!$D$3:$D$98,"")</f>
        <v>15</v>
      </c>
      <c r="J5" s="3" cm="1">
        <f t="array" ref="J5">_xlfn.XLOOKUP(1,(Dados!$B$3:$B$98=$B$5)*(Dados!$C$3:$C$98=J2),Dados!$D$3:$D$98,"")</f>
        <v>22</v>
      </c>
      <c r="K5" s="3" cm="1">
        <f t="array" ref="K5">_xlfn.XLOOKUP(1,(Dados!$B$3:$B$98=$B$5)*(Dados!$C$3:$C$98=K2),Dados!$D$3:$D$98,"")</f>
        <v>22</v>
      </c>
      <c r="L5" s="3" cm="1">
        <f t="array" ref="L5">_xlfn.XLOOKUP(1,(Dados!$B$3:$B$98=$B$5)*(Dados!$C$3:$C$98=L2),Dados!$D$3:$D$98,"")</f>
        <v>29</v>
      </c>
      <c r="M5" s="3" cm="1">
        <f t="array" ref="M5">_xlfn.XLOOKUP(1,(Dados!$B$3:$B$98=$B$5)*(Dados!$C$3:$C$98=M2),Dados!$D$3:$D$98,"")</f>
        <v>29</v>
      </c>
      <c r="N5" s="3" cm="1">
        <f t="array" ref="N5">_xlfn.XLOOKUP(1,(Dados!$B$3:$B$98=$B$5)*(Dados!$C$3:$C$98=N2),Dados!$D$3:$D$98,"")</f>
        <v>26</v>
      </c>
      <c r="O5" s="3" cm="1">
        <f t="array" ref="O5">_xlfn.XLOOKUP(1,(Dados!$B$3:$B$98=$B$5)*(Dados!$C$3:$C$98=O2),Dados!$D$3:$D$98,"")</f>
        <v>23</v>
      </c>
      <c r="P5" s="3" cm="1">
        <f t="array" ref="P5">_xlfn.XLOOKUP(1,(Dados!$B$3:$B$98=$B$5)*(Dados!$C$3:$C$98=P2),Dados!$D$3:$D$98,"")</f>
        <v>33</v>
      </c>
      <c r="Q5" s="3" cm="1">
        <f t="array" ref="Q5">_xlfn.XLOOKUP(1,(Dados!$B$3:$B$98=$B$5)*(Dados!$C$3:$C$98=Q2),Dados!$D$3:$D$98,"")</f>
        <v>27</v>
      </c>
      <c r="R5" s="3" cm="1">
        <f t="array" ref="R5">_xlfn.XLOOKUP(1,(Dados!$B$3:$B$98=$B$5)*(Dados!$C$3:$C$98=R2),Dados!$D$3:$D$98,"")</f>
        <v>32</v>
      </c>
      <c r="S5" s="3" cm="1">
        <f t="array" ref="S5">_xlfn.XLOOKUP(1,(Dados!$B$3:$B$98=$B$5)*(Dados!$C$3:$C$98=S2),Dados!$D$3:$D$98,"")</f>
        <v>33</v>
      </c>
      <c r="T5" s="3" cm="1">
        <f t="array" ref="T5">_xlfn.XLOOKUP(1,(Dados!$B$3:$B$98=$B$5)*(Dados!$C$3:$C$98=T2),Dados!$D$3:$D$98,"")</f>
        <v>32</v>
      </c>
      <c r="U5" s="3" cm="1">
        <f t="array" ref="U5">_xlfn.XLOOKUP(1,(Dados!$B$3:$B$98=$B$5)*(Dados!$C$3:$C$98=U2),Dados!$D$3:$D$98,"")</f>
        <v>21</v>
      </c>
      <c r="V5" s="3" cm="1">
        <f t="array" ref="V5">_xlfn.XLOOKUP(1,(Dados!$B$3:$B$98=$B$5)*(Dados!$C$3:$C$98=V2),Dados!$D$3:$D$98,"")</f>
        <v>22</v>
      </c>
      <c r="W5" s="3" cm="1">
        <f t="array" ref="W5">_xlfn.XLOOKUP(1,(Dados!$B$3:$B$98=$B$5)*(Dados!$C$3:$C$98=W2),Dados!$D$3:$D$98,"")</f>
        <v>20</v>
      </c>
      <c r="X5" s="3" cm="1">
        <f t="array" ref="X5">_xlfn.XLOOKUP(1,(Dados!$B$3:$B$98=$B$5)*(Dados!$C$3:$C$98=X2),Dados!$D$3:$D$98,"")</f>
        <v>20</v>
      </c>
      <c r="Y5" s="3" cm="1">
        <f t="array" ref="Y5">_xlfn.XLOOKUP(1,(Dados!$B$3:$B$98=$B$5)*(Dados!$C$3:$C$98=Y2),Dados!$D$3:$D$98,"")</f>
        <v>22</v>
      </c>
      <c r="Z5" s="3" cm="1">
        <f t="array" ref="Z5">_xlfn.XLOOKUP(1,(Dados!$B$3:$B$98=$B$5)*(Dados!$C$3:$C$98=Z2),Dados!$D$3:$D$98,"")</f>
        <v>10</v>
      </c>
      <c r="AA5" s="19">
        <f t="shared" ref="AA5:AA9" si="1">COUNTIF(C5:Z5,"&gt;27")</f>
        <v>6</v>
      </c>
      <c r="AB5" s="23">
        <f t="shared" ref="AB5:AB9" si="2">AVERAGE(C5:Z5)</f>
        <v>21.625</v>
      </c>
      <c r="AC5" s="23">
        <f>AVERAGE(C6:Z6)</f>
        <v>90.3125</v>
      </c>
    </row>
    <row r="6" spans="1:29" x14ac:dyDescent="0.3">
      <c r="A6" s="15" t="s">
        <v>13</v>
      </c>
      <c r="B6" s="29"/>
      <c r="C6" s="9" cm="1">
        <f t="array" ref="C6">_xlfn.XLOOKUP(1,(Dados!$B$3:$B$98=$B$5)*(Dados!$C$3:$C$98=C2),Dados!$G$3:$G$98,"")</f>
        <v>100</v>
      </c>
      <c r="D6" s="9" cm="1">
        <f t="array" ref="D6">_xlfn.XLOOKUP(1,(Dados!$B$3:$B$98=$B$5)*(Dados!$C$3:$C$98=D2),Dados!$G$3:$G$98,"")</f>
        <v>100</v>
      </c>
      <c r="E6" s="9" cm="1">
        <f t="array" ref="E6">_xlfn.XLOOKUP(1,(Dados!$B$3:$B$98=$B$5)*(Dados!$C$3:$C$98=E2),Dados!$G$3:$G$98,"")</f>
        <v>100</v>
      </c>
      <c r="F6" s="9" cm="1">
        <f t="array" ref="F6">_xlfn.XLOOKUP(1,(Dados!$B$3:$B$98=$B$5)*(Dados!$C$3:$C$98=F2),Dados!$G$3:$G$98,"")</f>
        <v>100</v>
      </c>
      <c r="G6" s="9" cm="1">
        <f t="array" ref="G6">_xlfn.XLOOKUP(1,(Dados!$B$3:$B$98=$B$5)*(Dados!$C$3:$C$98=G2),Dados!$G$3:$G$98,"")</f>
        <v>100</v>
      </c>
      <c r="H6" s="9" cm="1">
        <f t="array" ref="H6">_xlfn.XLOOKUP(1,(Dados!$B$3:$B$98=$B$5)*(Dados!$C$3:$C$98=H2),Dados!$G$3:$G$98,"")</f>
        <v>100</v>
      </c>
      <c r="I6" s="9" cm="1">
        <f t="array" ref="I6">_xlfn.XLOOKUP(1,(Dados!$B$3:$B$98=$B$5)*(Dados!$C$3:$C$98=I2),Dados!$G$3:$G$98,"")</f>
        <v>100</v>
      </c>
      <c r="J6" s="9" cm="1">
        <f t="array" ref="J6">_xlfn.XLOOKUP(1,(Dados!$B$3:$B$98=$B$5)*(Dados!$C$3:$C$98=J2),Dados!$G$3:$G$98,"")</f>
        <v>95</v>
      </c>
      <c r="K6" s="9" cm="1">
        <f t="array" ref="K6">_xlfn.XLOOKUP(1,(Dados!$B$3:$B$98=$B$5)*(Dados!$C$3:$C$98=K2),Dados!$G$3:$G$98,"")</f>
        <v>95</v>
      </c>
      <c r="L6" s="9" cm="1">
        <f t="array" ref="L6">_xlfn.XLOOKUP(1,(Dados!$B$3:$B$98=$B$5)*(Dados!$C$3:$C$98=L2),Dados!$G$3:$G$98,"")</f>
        <v>77.5</v>
      </c>
      <c r="M6" s="9" cm="1">
        <f t="array" ref="M6">_xlfn.XLOOKUP(1,(Dados!$B$3:$B$98=$B$5)*(Dados!$C$3:$C$98=M2),Dados!$G$3:$G$98,"")</f>
        <v>77.5</v>
      </c>
      <c r="N6" s="9" cm="1">
        <f t="array" ref="N6">_xlfn.XLOOKUP(1,(Dados!$B$3:$B$98=$B$5)*(Dados!$C$3:$C$98=N2),Dados!$G$3:$G$98,"")</f>
        <v>85</v>
      </c>
      <c r="O6" s="9" cm="1">
        <f t="array" ref="O6">_xlfn.XLOOKUP(1,(Dados!$B$3:$B$98=$B$5)*(Dados!$C$3:$C$98=O2),Dados!$G$3:$G$98,"")</f>
        <v>92.5</v>
      </c>
      <c r="P6" s="9" cm="1">
        <f t="array" ref="P6">_xlfn.XLOOKUP(1,(Dados!$B$3:$B$98=$B$5)*(Dados!$C$3:$C$98=P2),Dados!$G$3:$G$98,"")</f>
        <v>67.5</v>
      </c>
      <c r="Q6" s="9" cm="1">
        <f t="array" ref="Q6">_xlfn.XLOOKUP(1,(Dados!$B$3:$B$98=$B$5)*(Dados!$C$3:$C$98=Q2),Dados!$G$3:$G$98,"")</f>
        <v>82.5</v>
      </c>
      <c r="R6" s="9" cm="1">
        <f t="array" ref="R6">_xlfn.XLOOKUP(1,(Dados!$B$3:$B$98=$B$5)*(Dados!$C$3:$C$98=R2),Dados!$G$3:$G$98,"")</f>
        <v>70</v>
      </c>
      <c r="S6" s="9" cm="1">
        <f t="array" ref="S6">_xlfn.XLOOKUP(1,(Dados!$B$3:$B$98=$B$5)*(Dados!$C$3:$C$98=S2),Dados!$G$3:$G$98,"")</f>
        <v>67.5</v>
      </c>
      <c r="T6" s="9" cm="1">
        <f t="array" ref="T6">_xlfn.XLOOKUP(1,(Dados!$B$3:$B$98=$B$5)*(Dados!$C$3:$C$98=T2),Dados!$G$3:$G$98,"")</f>
        <v>70</v>
      </c>
      <c r="U6" s="9" cm="1">
        <f t="array" ref="U6">_xlfn.XLOOKUP(1,(Dados!$B$3:$B$98=$B$5)*(Dados!$C$3:$C$98=U2),Dados!$G$3:$G$98,"")</f>
        <v>97.5</v>
      </c>
      <c r="V6" s="9" cm="1">
        <f t="array" ref="V6">_xlfn.XLOOKUP(1,(Dados!$B$3:$B$98=$B$5)*(Dados!$C$3:$C$98=V2),Dados!$G$3:$G$98,"")</f>
        <v>95</v>
      </c>
      <c r="W6" s="9" cm="1">
        <f t="array" ref="W6">_xlfn.XLOOKUP(1,(Dados!$B$3:$B$98=$B$5)*(Dados!$C$3:$C$98=W2),Dados!$G$3:$G$98,"")</f>
        <v>100</v>
      </c>
      <c r="X6" s="9" cm="1">
        <f t="array" ref="X6">_xlfn.XLOOKUP(1,(Dados!$B$3:$B$98=$B$5)*(Dados!$C$3:$C$98=X2),Dados!$G$3:$G$98,"")</f>
        <v>100</v>
      </c>
      <c r="Y6" s="9" cm="1">
        <f t="array" ref="Y6">_xlfn.XLOOKUP(1,(Dados!$B$3:$B$98=$B$5)*(Dados!$C$3:$C$98=Y2),Dados!$G$3:$G$98,"")</f>
        <v>95</v>
      </c>
      <c r="Z6" s="9" cm="1">
        <f t="array" ref="Z6">_xlfn.XLOOKUP(1,(Dados!$B$3:$B$98=$B$5)*(Dados!$C$3:$C$98=Z2),Dados!$G$3:$G$98,"")</f>
        <v>100</v>
      </c>
      <c r="AA6" s="19"/>
      <c r="AB6" s="23"/>
      <c r="AC6" s="23"/>
    </row>
    <row r="7" spans="1:29" x14ac:dyDescent="0.3">
      <c r="A7" s="4" t="s">
        <v>12</v>
      </c>
      <c r="B7" s="30">
        <v>3</v>
      </c>
      <c r="C7" s="4" cm="1">
        <f t="array" ref="C7">_xlfn.XLOOKUP(1,(Dados!$B$3:$B$98=$B$7)*(Dados!$C$3:$C$98=C2),Dados!$D$3:$D$98,"")</f>
        <v>6</v>
      </c>
      <c r="D7" s="4" cm="1">
        <f t="array" ref="D7">_xlfn.XLOOKUP(1,(Dados!$B$3:$B$98=$B$7)*(Dados!$C$3:$C$98=D2),Dados!$D$3:$D$98,"")</f>
        <v>12</v>
      </c>
      <c r="E7" s="4" cm="1">
        <f t="array" ref="E7">_xlfn.XLOOKUP(1,(Dados!$B$3:$B$98=$B$7)*(Dados!$C$3:$C$98=E2),Dados!$D$3:$D$98,"")</f>
        <v>11</v>
      </c>
      <c r="F7" s="4" cm="1">
        <f t="array" ref="F7">_xlfn.XLOOKUP(1,(Dados!$B$3:$B$98=$B$7)*(Dados!$C$3:$C$98=F2),Dados!$D$3:$D$98,"")</f>
        <v>17</v>
      </c>
      <c r="G7" s="4" cm="1">
        <f t="array" ref="G7">_xlfn.XLOOKUP(1,(Dados!$B$3:$B$98=$B$7)*(Dados!$C$3:$C$98=G2),Dados!$D$3:$D$98,"")</f>
        <v>13</v>
      </c>
      <c r="H7" s="4" cm="1">
        <f t="array" ref="H7">_xlfn.XLOOKUP(1,(Dados!$B$3:$B$98=$B$7)*(Dados!$C$3:$C$98=H2),Dados!$D$3:$D$98,"")</f>
        <v>20</v>
      </c>
      <c r="I7" s="4" cm="1">
        <f t="array" ref="I7">_xlfn.XLOOKUP(1,(Dados!$B$3:$B$98=$B$7)*(Dados!$C$3:$C$98=I2),Dados!$D$3:$D$98,"")</f>
        <v>14</v>
      </c>
      <c r="J7" s="4" cm="1">
        <f t="array" ref="J7">_xlfn.XLOOKUP(1,(Dados!$B$3:$B$98=$B$7)*(Dados!$C$3:$C$98=J2),Dados!$D$3:$D$98,"")</f>
        <v>15</v>
      </c>
      <c r="K7" s="4" cm="1">
        <f t="array" ref="K7">_xlfn.XLOOKUP(1,(Dados!$B$3:$B$98=$B$7)*(Dados!$C$3:$C$98=K2),Dados!$D$3:$D$98,"")</f>
        <v>19</v>
      </c>
      <c r="L7" s="4" cm="1">
        <f t="array" ref="L7">_xlfn.XLOOKUP(1,(Dados!$B$3:$B$98=$B$7)*(Dados!$C$3:$C$98=L2),Dados!$D$3:$D$98,"")</f>
        <v>29</v>
      </c>
      <c r="M7" s="4" cm="1">
        <f t="array" ref="M7">_xlfn.XLOOKUP(1,(Dados!$B$3:$B$98=$B$7)*(Dados!$C$3:$C$98=M2),Dados!$D$3:$D$98,"")</f>
        <v>20</v>
      </c>
      <c r="N7" s="4" cm="1">
        <f t="array" ref="N7">_xlfn.XLOOKUP(1,(Dados!$B$3:$B$98=$B$7)*(Dados!$C$3:$C$98=N2),Dados!$D$3:$D$98,"")</f>
        <v>27</v>
      </c>
      <c r="O7" s="4" cm="1">
        <f t="array" ref="O7">_xlfn.XLOOKUP(1,(Dados!$B$3:$B$98=$B$7)*(Dados!$C$3:$C$98=O2),Dados!$D$3:$D$98,"")</f>
        <v>31</v>
      </c>
      <c r="P7" s="4" cm="1">
        <f t="array" ref="P7">_xlfn.XLOOKUP(1,(Dados!$B$3:$B$98=$B$7)*(Dados!$C$3:$C$98=P2),Dados!$D$3:$D$98,"")</f>
        <v>34</v>
      </c>
      <c r="Q7" s="4" cm="1">
        <f t="array" ref="Q7">_xlfn.XLOOKUP(1,(Dados!$B$3:$B$98=$B$7)*(Dados!$C$3:$C$98=Q2),Dados!$D$3:$D$98,"")</f>
        <v>31</v>
      </c>
      <c r="R7" s="4" cm="1">
        <f t="array" ref="R7">_xlfn.XLOOKUP(1,(Dados!$B$3:$B$98=$B$7)*(Dados!$C$3:$C$98=R2),Dados!$D$3:$D$98,"")</f>
        <v>27</v>
      </c>
      <c r="S7" s="4" cm="1">
        <f t="array" ref="S7">_xlfn.XLOOKUP(1,(Dados!$B$3:$B$98=$B$7)*(Dados!$C$3:$C$98=S2),Dados!$D$3:$D$98,"")</f>
        <v>24</v>
      </c>
      <c r="T7" s="4" cm="1">
        <f t="array" ref="T7">_xlfn.XLOOKUP(1,(Dados!$B$3:$B$98=$B$7)*(Dados!$C$3:$C$98=T2),Dados!$D$3:$D$98,"")</f>
        <v>31</v>
      </c>
      <c r="U7" s="4" cm="1">
        <f t="array" ref="U7">_xlfn.XLOOKUP(1,(Dados!$B$3:$B$98=$B$7)*(Dados!$C$3:$C$98=U2),Dados!$D$3:$D$98,"")</f>
        <v>29</v>
      </c>
      <c r="V7" s="4" cm="1">
        <f t="array" ref="V7">_xlfn.XLOOKUP(1,(Dados!$B$3:$B$98=$B$7)*(Dados!$C$3:$C$98=V2),Dados!$D$3:$D$98,"")</f>
        <v>23</v>
      </c>
      <c r="W7" s="4" cm="1">
        <f t="array" ref="W7">_xlfn.XLOOKUP(1,(Dados!$B$3:$B$98=$B$7)*(Dados!$C$3:$C$98=W2),Dados!$D$3:$D$98,"")</f>
        <v>22</v>
      </c>
      <c r="X7" s="4" cm="1">
        <f t="array" ref="X7">_xlfn.XLOOKUP(1,(Dados!$B$3:$B$98=$B$7)*(Dados!$C$3:$C$98=X2),Dados!$D$3:$D$98,"")</f>
        <v>24</v>
      </c>
      <c r="Y7" s="4" cm="1">
        <f t="array" ref="Y7">_xlfn.XLOOKUP(1,(Dados!$B$3:$B$98=$B$7)*(Dados!$C$3:$C$98=Y2),Dados!$D$3:$D$98,"")</f>
        <v>16</v>
      </c>
      <c r="Z7" s="4" cm="1">
        <f t="array" ref="Z7">_xlfn.XLOOKUP(1,(Dados!$B$3:$B$98=$B$7)*(Dados!$C$3:$C$98=Z2),Dados!$D$3:$D$98,"")</f>
        <v>13</v>
      </c>
      <c r="AA7" s="20">
        <f t="shared" si="1"/>
        <v>6</v>
      </c>
      <c r="AB7" s="24">
        <f t="shared" si="2"/>
        <v>21.166666666666668</v>
      </c>
      <c r="AC7" s="24">
        <f>AVERAGE(C8:Z8)</f>
        <v>90.416666666666671</v>
      </c>
    </row>
    <row r="8" spans="1:29" x14ac:dyDescent="0.3">
      <c r="A8" s="16" t="s">
        <v>13</v>
      </c>
      <c r="B8" s="30"/>
      <c r="C8" s="9" cm="1">
        <f t="array" ref="C8">_xlfn.XLOOKUP(1,(Dados!$B$3:$B$98=$B$7)*(Dados!$C$3:$C$98=C2),Dados!$G$3:$G$98,"")</f>
        <v>100</v>
      </c>
      <c r="D8" s="9" cm="1">
        <f t="array" ref="D8">_xlfn.XLOOKUP(1,(Dados!$B$3:$B$98=$B$7)*(Dados!$C$3:$C$98=D2),Dados!$G$3:$G$98,"")</f>
        <v>100</v>
      </c>
      <c r="E8" s="9" cm="1">
        <f t="array" ref="E8">_xlfn.XLOOKUP(1,(Dados!$B$3:$B$98=$B$7)*(Dados!$C$3:$C$98=E2),Dados!$G$3:$G$98,"")</f>
        <v>100</v>
      </c>
      <c r="F8" s="9" cm="1">
        <f t="array" ref="F8">_xlfn.XLOOKUP(1,(Dados!$B$3:$B$98=$B$7)*(Dados!$C$3:$C$98=F2),Dados!$G$3:$G$98,"")</f>
        <v>100</v>
      </c>
      <c r="G8" s="9" cm="1">
        <f t="array" ref="G8">_xlfn.XLOOKUP(1,(Dados!$B$3:$B$98=$B$7)*(Dados!$C$3:$C$98=G2),Dados!$G$3:$G$98,"")</f>
        <v>100</v>
      </c>
      <c r="H8" s="9" cm="1">
        <f t="array" ref="H8">_xlfn.XLOOKUP(1,(Dados!$B$3:$B$98=$B$7)*(Dados!$C$3:$C$98=H2),Dados!$G$3:$G$98,"")</f>
        <v>100</v>
      </c>
      <c r="I8" s="9" cm="1">
        <f t="array" ref="I8">_xlfn.XLOOKUP(1,(Dados!$B$3:$B$98=$B$7)*(Dados!$C$3:$C$98=I2),Dados!$G$3:$G$98,"")</f>
        <v>100</v>
      </c>
      <c r="J8" s="9" cm="1">
        <f t="array" ref="J8">_xlfn.XLOOKUP(1,(Dados!$B$3:$B$98=$B$7)*(Dados!$C$3:$C$98=J2),Dados!$G$3:$G$98,"")</f>
        <v>100</v>
      </c>
      <c r="K8" s="9" cm="1">
        <f t="array" ref="K8">_xlfn.XLOOKUP(1,(Dados!$B$3:$B$98=$B$7)*(Dados!$C$3:$C$98=K2),Dados!$G$3:$G$98,"")</f>
        <v>100</v>
      </c>
      <c r="L8" s="9" cm="1">
        <f t="array" ref="L8">_xlfn.XLOOKUP(1,(Dados!$B$3:$B$98=$B$7)*(Dados!$C$3:$C$98=L2),Dados!$G$3:$G$98,"")</f>
        <v>77.5</v>
      </c>
      <c r="M8" s="9" cm="1">
        <f t="array" ref="M8">_xlfn.XLOOKUP(1,(Dados!$B$3:$B$98=$B$7)*(Dados!$C$3:$C$98=M2),Dados!$G$3:$G$98,"")</f>
        <v>100</v>
      </c>
      <c r="N8" s="9" cm="1">
        <f t="array" ref="N8">_xlfn.XLOOKUP(1,(Dados!$B$3:$B$98=$B$7)*(Dados!$C$3:$C$98=N2),Dados!$G$3:$G$98,"")</f>
        <v>82.5</v>
      </c>
      <c r="O8" s="9" cm="1">
        <f t="array" ref="O8">_xlfn.XLOOKUP(1,(Dados!$B$3:$B$98=$B$7)*(Dados!$C$3:$C$98=O2),Dados!$G$3:$G$98,"")</f>
        <v>72.5</v>
      </c>
      <c r="P8" s="9" cm="1">
        <f t="array" ref="P8">_xlfn.XLOOKUP(1,(Dados!$B$3:$B$98=$B$7)*(Dados!$C$3:$C$98=P2),Dados!$G$3:$G$98,"")</f>
        <v>64.999999999999986</v>
      </c>
      <c r="Q8" s="9" cm="1">
        <f t="array" ref="Q8">_xlfn.XLOOKUP(1,(Dados!$B$3:$B$98=$B$7)*(Dados!$C$3:$C$98=Q2),Dados!$G$3:$G$98,"")</f>
        <v>72.5</v>
      </c>
      <c r="R8" s="9" cm="1">
        <f t="array" ref="R8">_xlfn.XLOOKUP(1,(Dados!$B$3:$B$98=$B$7)*(Dados!$C$3:$C$98=R2),Dados!$G$3:$G$98,"")</f>
        <v>82.5</v>
      </c>
      <c r="S8" s="9" cm="1">
        <f t="array" ref="S8">_xlfn.XLOOKUP(1,(Dados!$B$3:$B$98=$B$7)*(Dados!$C$3:$C$98=S2),Dados!$G$3:$G$98,"")</f>
        <v>90</v>
      </c>
      <c r="T8" s="9" cm="1">
        <f t="array" ref="T8">_xlfn.XLOOKUP(1,(Dados!$B$3:$B$98=$B$7)*(Dados!$C$3:$C$98=T2),Dados!$G$3:$G$98,"")</f>
        <v>72.5</v>
      </c>
      <c r="U8" s="9" cm="1">
        <f t="array" ref="U8">_xlfn.XLOOKUP(1,(Dados!$B$3:$B$98=$B$7)*(Dados!$C$3:$C$98=U2),Dados!$G$3:$G$98,"")</f>
        <v>77.5</v>
      </c>
      <c r="V8" s="9" cm="1">
        <f t="array" ref="V8">_xlfn.XLOOKUP(1,(Dados!$B$3:$B$98=$B$7)*(Dados!$C$3:$C$98=V2),Dados!$G$3:$G$98,"")</f>
        <v>92.5</v>
      </c>
      <c r="W8" s="9" cm="1">
        <f t="array" ref="W8">_xlfn.XLOOKUP(1,(Dados!$B$3:$B$98=$B$7)*(Dados!$C$3:$C$98=W2),Dados!$G$3:$G$98,"")</f>
        <v>95</v>
      </c>
      <c r="X8" s="9" cm="1">
        <f t="array" ref="X8">_xlfn.XLOOKUP(1,(Dados!$B$3:$B$98=$B$7)*(Dados!$C$3:$C$98=X2),Dados!$G$3:$G$98,"")</f>
        <v>90</v>
      </c>
      <c r="Y8" s="9" cm="1">
        <f t="array" ref="Y8">_xlfn.XLOOKUP(1,(Dados!$B$3:$B$98=$B$7)*(Dados!$C$3:$C$98=Y2),Dados!$G$3:$G$98,"")</f>
        <v>100</v>
      </c>
      <c r="Z8" s="9" cm="1">
        <f t="array" ref="Z8">_xlfn.XLOOKUP(1,(Dados!$B$3:$B$98=$B$7)*(Dados!$C$3:$C$98=Z2),Dados!$G$3:$G$98,"")</f>
        <v>100</v>
      </c>
      <c r="AA8" s="20"/>
      <c r="AB8" s="24"/>
      <c r="AC8" s="24"/>
    </row>
    <row r="9" spans="1:29" x14ac:dyDescent="0.3">
      <c r="A9" s="13" t="s">
        <v>12</v>
      </c>
      <c r="B9" s="31">
        <v>4</v>
      </c>
      <c r="C9" s="13" cm="1">
        <f t="array" ref="C9">_xlfn.XLOOKUP(1,(Dados!$B$3:$B$98=$B$9)*(Dados!$C$3:$C$98=C2),Dados!$D$3:$D$98,"")</f>
        <v>16</v>
      </c>
      <c r="D9" s="13" cm="1">
        <f t="array" ref="D9">_xlfn.XLOOKUP(1,(Dados!$B$3:$B$98=$B$9)*(Dados!$C$3:$C$98=D2),Dados!$D$3:$D$98,"")</f>
        <v>9</v>
      </c>
      <c r="E9" s="13" cm="1">
        <f t="array" ref="E9">_xlfn.XLOOKUP(1,(Dados!$B$3:$B$98=$B$9)*(Dados!$C$3:$C$98=E2),Dados!$D$3:$D$98,"")</f>
        <v>17</v>
      </c>
      <c r="F9" s="13" cm="1">
        <f t="array" ref="F9">_xlfn.XLOOKUP(1,(Dados!$B$3:$B$98=$B$9)*(Dados!$C$3:$C$98=F2),Dados!$D$3:$D$98,"")</f>
        <v>15</v>
      </c>
      <c r="G9" s="13" cm="1">
        <f t="array" ref="G9">_xlfn.XLOOKUP(1,(Dados!$B$3:$B$98=$B$9)*(Dados!$C$3:$C$98=G2),Dados!$D$3:$D$98,"")</f>
        <v>12</v>
      </c>
      <c r="H9" s="13" cm="1">
        <f t="array" ref="H9">_xlfn.XLOOKUP(1,(Dados!$B$3:$B$98=$B$9)*(Dados!$C$3:$C$98=H2),Dados!$D$3:$D$98,"")</f>
        <v>22</v>
      </c>
      <c r="I9" s="13" cm="1">
        <f t="array" ref="I9">_xlfn.XLOOKUP(1,(Dados!$B$3:$B$98=$B$9)*(Dados!$C$3:$C$98=I2),Dados!$D$3:$D$98,"")</f>
        <v>16</v>
      </c>
      <c r="J9" s="13" cm="1">
        <f t="array" ref="J9">_xlfn.XLOOKUP(1,(Dados!$B$3:$B$98=$B$9)*(Dados!$C$3:$C$98=J2),Dados!$D$3:$D$98,"")</f>
        <v>16</v>
      </c>
      <c r="K9" s="13" cm="1">
        <f t="array" ref="K9">_xlfn.XLOOKUP(1,(Dados!$B$3:$B$98=$B$9)*(Dados!$C$3:$C$98=K2),Dados!$D$3:$D$98,"")</f>
        <v>22</v>
      </c>
      <c r="L9" s="13" cm="1">
        <f t="array" ref="L9">_xlfn.XLOOKUP(1,(Dados!$B$3:$B$98=$B$9)*(Dados!$C$3:$C$98=L2),Dados!$D$3:$D$98,"")</f>
        <v>26</v>
      </c>
      <c r="M9" s="13" cm="1">
        <f t="array" ref="M9">_xlfn.XLOOKUP(1,(Dados!$B$3:$B$98=$B$9)*(Dados!$C$3:$C$98=M2),Dados!$D$3:$D$98,"")</f>
        <v>22</v>
      </c>
      <c r="N9" s="13" cm="1">
        <f t="array" ref="N9">_xlfn.XLOOKUP(1,(Dados!$B$3:$B$98=$B$9)*(Dados!$C$3:$C$98=N2),Dados!$D$3:$D$98,"")</f>
        <v>32</v>
      </c>
      <c r="O9" s="13" cm="1">
        <f t="array" ref="O9">_xlfn.XLOOKUP(1,(Dados!$B$3:$B$98=$B$9)*(Dados!$C$3:$C$98=O2),Dados!$D$3:$D$98,"")</f>
        <v>31</v>
      </c>
      <c r="P9" s="13" cm="1">
        <f t="array" ref="P9">_xlfn.XLOOKUP(1,(Dados!$B$3:$B$98=$B$9)*(Dados!$C$3:$C$98=P2),Dados!$D$3:$D$98,"")</f>
        <v>29</v>
      </c>
      <c r="Q9" s="13" cm="1">
        <f t="array" ref="Q9">_xlfn.XLOOKUP(1,(Dados!$B$3:$B$98=$B$9)*(Dados!$C$3:$C$98=Q2),Dados!$D$3:$D$98,"")</f>
        <v>30</v>
      </c>
      <c r="R9" s="13" cm="1">
        <f t="array" ref="R9">_xlfn.XLOOKUP(1,(Dados!$B$3:$B$98=$B$9)*(Dados!$C$3:$C$98=R2),Dados!$D$3:$D$98,"")</f>
        <v>27</v>
      </c>
      <c r="S9" s="13" cm="1">
        <f t="array" ref="S9">_xlfn.XLOOKUP(1,(Dados!$B$3:$B$98=$B$9)*(Dados!$C$3:$C$98=S2),Dados!$D$3:$D$98,"")</f>
        <v>24</v>
      </c>
      <c r="T9" s="13" cm="1">
        <f t="array" ref="T9">_xlfn.XLOOKUP(1,(Dados!$B$3:$B$98=$B$9)*(Dados!$C$3:$C$98=T2),Dados!$D$3:$D$98,"")</f>
        <v>32</v>
      </c>
      <c r="U9" s="13" cm="1">
        <f t="array" ref="U9">_xlfn.XLOOKUP(1,(Dados!$B$3:$B$98=$B$9)*(Dados!$C$3:$C$98=U2),Dados!$D$3:$D$98,"")</f>
        <v>21</v>
      </c>
      <c r="V9" s="13" cm="1">
        <f t="array" ref="V9">_xlfn.XLOOKUP(1,(Dados!$B$3:$B$98=$B$9)*(Dados!$C$3:$C$98=V2),Dados!$D$3:$D$98,"")</f>
        <v>22</v>
      </c>
      <c r="W9" s="13" cm="1">
        <f t="array" ref="W9">_xlfn.XLOOKUP(1,(Dados!$B$3:$B$98=$B$9)*(Dados!$C$3:$C$98=W2),Dados!$D$3:$D$98,"")</f>
        <v>25</v>
      </c>
      <c r="X9" s="13" cm="1">
        <f t="array" ref="X9">_xlfn.XLOOKUP(1,(Dados!$B$3:$B$98=$B$9)*(Dados!$C$3:$C$98=X2),Dados!$D$3:$D$98,"")</f>
        <v>23</v>
      </c>
      <c r="Y9" s="13" cm="1">
        <f t="array" ref="Y9">_xlfn.XLOOKUP(1,(Dados!$B$3:$B$98=$B$9)*(Dados!$C$3:$C$98=Y2),Dados!$D$3:$D$98,"")</f>
        <v>17</v>
      </c>
      <c r="Z9" s="13" cm="1">
        <f t="array" ref="Z9">_xlfn.XLOOKUP(1,(Dados!$B$3:$B$98=$B$9)*(Dados!$C$3:$C$98=Z2),Dados!$D$3:$D$98,"")</f>
        <v>17</v>
      </c>
      <c r="AA9" s="21">
        <f t="shared" si="1"/>
        <v>5</v>
      </c>
      <c r="AB9" s="25">
        <f t="shared" si="2"/>
        <v>21.791666666666668</v>
      </c>
      <c r="AC9" s="25">
        <f>AVERAGE(C10:Z10)</f>
        <v>90.833333333333329</v>
      </c>
    </row>
    <row r="10" spans="1:29" x14ac:dyDescent="0.3">
      <c r="A10" s="17" t="s">
        <v>13</v>
      </c>
      <c r="B10" s="31"/>
      <c r="C10" s="9" cm="1">
        <f t="array" ref="C10">_xlfn.XLOOKUP(1,(Dados!$B$3:$B$98=$B$9)*(Dados!$C$3:$C$98=C2),Dados!$G$3:$G$98,"")</f>
        <v>100</v>
      </c>
      <c r="D10" s="9" cm="1">
        <f t="array" ref="D10">_xlfn.XLOOKUP(1,(Dados!$B$3:$B$98=$B$9)*(Dados!$C$3:$C$98=D2),Dados!$G$3:$G$98,"")</f>
        <v>100</v>
      </c>
      <c r="E10" s="9" cm="1">
        <f t="array" ref="E10">_xlfn.XLOOKUP(1,(Dados!$B$3:$B$98=$B$9)*(Dados!$C$3:$C$98=E2),Dados!$G$3:$G$98,"")</f>
        <v>100</v>
      </c>
      <c r="F10" s="9" cm="1">
        <f t="array" ref="F10">_xlfn.XLOOKUP(1,(Dados!$B$3:$B$98=$B$9)*(Dados!$C$3:$C$98=F2),Dados!$G$3:$G$98,"")</f>
        <v>100</v>
      </c>
      <c r="G10" s="9" cm="1">
        <f t="array" ref="G10">_xlfn.XLOOKUP(1,(Dados!$B$3:$B$98=$B$9)*(Dados!$C$3:$C$98=G2),Dados!$G$3:$G$98,"")</f>
        <v>100</v>
      </c>
      <c r="H10" s="9" cm="1">
        <f t="array" ref="H10">_xlfn.XLOOKUP(1,(Dados!$B$3:$B$98=$B$9)*(Dados!$C$3:$C$98=H2),Dados!$G$3:$G$98,"")</f>
        <v>95</v>
      </c>
      <c r="I10" s="9" cm="1">
        <f t="array" ref="I10">_xlfn.XLOOKUP(1,(Dados!$B$3:$B$98=$B$9)*(Dados!$C$3:$C$98=I2),Dados!$G$3:$G$98,"")</f>
        <v>100</v>
      </c>
      <c r="J10" s="9" cm="1">
        <f t="array" ref="J10">_xlfn.XLOOKUP(1,(Dados!$B$3:$B$98=$B$9)*(Dados!$C$3:$C$98=J2),Dados!$G$3:$G$98,"")</f>
        <v>100</v>
      </c>
      <c r="K10" s="9" cm="1">
        <f t="array" ref="K10">_xlfn.XLOOKUP(1,(Dados!$B$3:$B$98=$B$9)*(Dados!$C$3:$C$98=K2),Dados!$G$3:$G$98,"")</f>
        <v>95</v>
      </c>
      <c r="L10" s="9" cm="1">
        <f t="array" ref="L10">_xlfn.XLOOKUP(1,(Dados!$B$3:$B$98=$B$9)*(Dados!$C$3:$C$98=L2),Dados!$G$3:$G$98,"")</f>
        <v>85</v>
      </c>
      <c r="M10" s="9" cm="1">
        <f t="array" ref="M10">_xlfn.XLOOKUP(1,(Dados!$B$3:$B$98=$B$9)*(Dados!$C$3:$C$98=M2),Dados!$G$3:$G$98,"")</f>
        <v>95</v>
      </c>
      <c r="N10" s="9" cm="1">
        <f t="array" ref="N10">_xlfn.XLOOKUP(1,(Dados!$B$3:$B$98=$B$9)*(Dados!$C$3:$C$98=N2),Dados!$G$3:$G$98,"")</f>
        <v>70</v>
      </c>
      <c r="O10" s="9" cm="1">
        <f t="array" ref="O10">_xlfn.XLOOKUP(1,(Dados!$B$3:$B$98=$B$9)*(Dados!$C$3:$C$98=O2),Dados!$G$3:$G$98,"")</f>
        <v>72.5</v>
      </c>
      <c r="P10" s="9" cm="1">
        <f t="array" ref="P10">_xlfn.XLOOKUP(1,(Dados!$B$3:$B$98=$B$9)*(Dados!$C$3:$C$98=P2),Dados!$G$3:$G$98,"")</f>
        <v>77.5</v>
      </c>
      <c r="Q10" s="9" cm="1">
        <f t="array" ref="Q10">_xlfn.XLOOKUP(1,(Dados!$B$3:$B$98=$B$9)*(Dados!$C$3:$C$98=Q2),Dados!$G$3:$G$98,"")</f>
        <v>75</v>
      </c>
      <c r="R10" s="9" cm="1">
        <f t="array" ref="R10">_xlfn.XLOOKUP(1,(Dados!$B$3:$B$98=$B$9)*(Dados!$C$3:$C$98=R2),Dados!$G$3:$G$98,"")</f>
        <v>82.5</v>
      </c>
      <c r="S10" s="9" cm="1">
        <f t="array" ref="S10">_xlfn.XLOOKUP(1,(Dados!$B$3:$B$98=$B$9)*(Dados!$C$3:$C$98=S2),Dados!$G$3:$G$98,"")</f>
        <v>90</v>
      </c>
      <c r="T10" s="9" cm="1">
        <f t="array" ref="T10">_xlfn.XLOOKUP(1,(Dados!$B$3:$B$98=$B$9)*(Dados!$C$3:$C$98=T2),Dados!$G$3:$G$98,"")</f>
        <v>70</v>
      </c>
      <c r="U10" s="9" cm="1">
        <f t="array" ref="U10">_xlfn.XLOOKUP(1,(Dados!$B$3:$B$98=$B$9)*(Dados!$C$3:$C$98=U2),Dados!$G$3:$G$98,"")</f>
        <v>97.5</v>
      </c>
      <c r="V10" s="9" cm="1">
        <f t="array" ref="V10">_xlfn.XLOOKUP(1,(Dados!$B$3:$B$98=$B$9)*(Dados!$C$3:$C$98=V2),Dados!$G$3:$G$98,"")</f>
        <v>95</v>
      </c>
      <c r="W10" s="9" cm="1">
        <f t="array" ref="W10">_xlfn.XLOOKUP(1,(Dados!$B$3:$B$98=$B$9)*(Dados!$C$3:$C$98=W2),Dados!$G$3:$G$98,"")</f>
        <v>87.5</v>
      </c>
      <c r="X10" s="9" cm="1">
        <f t="array" ref="X10">_xlfn.XLOOKUP(1,(Dados!$B$3:$B$98=$B$9)*(Dados!$C$3:$C$98=X2),Dados!$G$3:$G$98,"")</f>
        <v>92.5</v>
      </c>
      <c r="Y10" s="9" cm="1">
        <f t="array" ref="Y10">_xlfn.XLOOKUP(1,(Dados!$B$3:$B$98=$B$9)*(Dados!$C$3:$C$98=Y2),Dados!$G$3:$G$98,"")</f>
        <v>100</v>
      </c>
      <c r="Z10" s="9" cm="1">
        <f t="array" ref="Z10">_xlfn.XLOOKUP(1,(Dados!$B$3:$B$98=$B$9)*(Dados!$C$3:$C$98=Z2),Dados!$G$3:$G$98,"")</f>
        <v>100</v>
      </c>
      <c r="AA10" s="21"/>
      <c r="AB10" s="25"/>
      <c r="AC10" s="25"/>
    </row>
    <row r="11" spans="1:29" x14ac:dyDescent="0.3">
      <c r="B11" s="32" t="s">
        <v>10</v>
      </c>
      <c r="C11" s="33">
        <v>27</v>
      </c>
      <c r="D11" s="33">
        <v>27</v>
      </c>
      <c r="E11" s="33">
        <v>27</v>
      </c>
      <c r="F11" s="33">
        <v>27</v>
      </c>
      <c r="G11" s="33">
        <v>27</v>
      </c>
      <c r="H11" s="33">
        <v>27</v>
      </c>
      <c r="I11" s="33">
        <v>27</v>
      </c>
      <c r="J11" s="33">
        <v>27</v>
      </c>
      <c r="K11" s="33">
        <v>27</v>
      </c>
      <c r="L11" s="33">
        <v>27</v>
      </c>
      <c r="M11" s="33">
        <v>27</v>
      </c>
      <c r="N11" s="33">
        <v>27</v>
      </c>
      <c r="O11" s="33">
        <v>27</v>
      </c>
      <c r="P11" s="33">
        <v>27</v>
      </c>
      <c r="Q11" s="33">
        <v>27</v>
      </c>
      <c r="R11" s="33">
        <v>27</v>
      </c>
      <c r="S11" s="33">
        <v>27</v>
      </c>
      <c r="T11" s="33">
        <v>27</v>
      </c>
      <c r="U11" s="33">
        <v>27</v>
      </c>
      <c r="V11" s="33">
        <v>27</v>
      </c>
      <c r="W11" s="33">
        <v>27</v>
      </c>
      <c r="X11" s="33">
        <v>27</v>
      </c>
      <c r="Y11" s="33">
        <v>27</v>
      </c>
      <c r="Z11" s="33">
        <v>27</v>
      </c>
    </row>
    <row r="14" spans="1:29" ht="15.6" x14ac:dyDescent="0.3">
      <c r="C14" s="34"/>
      <c r="D14" s="35"/>
      <c r="E14" s="35"/>
      <c r="F14" s="35"/>
      <c r="G14" s="35"/>
      <c r="H14" s="35"/>
    </row>
    <row r="15" spans="1:29" ht="18" x14ac:dyDescent="0.3">
      <c r="B15" s="36"/>
      <c r="C15" s="37"/>
    </row>
    <row r="16" spans="1:29" ht="18" x14ac:dyDescent="0.3">
      <c r="B16" s="36"/>
      <c r="C16" s="37"/>
    </row>
    <row r="17" spans="2:3" ht="18" x14ac:dyDescent="0.3">
      <c r="B17" s="36"/>
      <c r="C17" s="37"/>
    </row>
    <row r="18" spans="2:3" ht="18" x14ac:dyDescent="0.3">
      <c r="B18" s="36"/>
      <c r="C18" s="37"/>
    </row>
    <row r="19" spans="2:3" ht="18" x14ac:dyDescent="0.3">
      <c r="B19" s="36"/>
      <c r="C19" s="37"/>
    </row>
    <row r="20" spans="2:3" ht="18" x14ac:dyDescent="0.3">
      <c r="B20" s="36"/>
      <c r="C20" s="37"/>
    </row>
    <row r="21" spans="2:3" ht="18" x14ac:dyDescent="0.3">
      <c r="B21" s="36"/>
      <c r="C21" s="37"/>
    </row>
    <row r="22" spans="2:3" ht="18" x14ac:dyDescent="0.3">
      <c r="B22" s="36"/>
      <c r="C22" s="37"/>
    </row>
    <row r="23" spans="2:3" ht="18" x14ac:dyDescent="0.3">
      <c r="B23" s="36"/>
      <c r="C23" s="37"/>
    </row>
    <row r="24" spans="2:3" ht="18" x14ac:dyDescent="0.3">
      <c r="B24" s="36"/>
      <c r="C24" s="37"/>
    </row>
    <row r="25" spans="2:3" ht="18" x14ac:dyDescent="0.3">
      <c r="B25" s="36"/>
      <c r="C25" s="37"/>
    </row>
    <row r="26" spans="2:3" ht="18" x14ac:dyDescent="0.3">
      <c r="B26" s="36"/>
      <c r="C26" s="37"/>
    </row>
    <row r="27" spans="2:3" ht="18" x14ac:dyDescent="0.3">
      <c r="B27" s="36"/>
      <c r="C27" s="37"/>
    </row>
    <row r="28" spans="2:3" ht="18" x14ac:dyDescent="0.3">
      <c r="B28" s="36"/>
      <c r="C28" s="37"/>
    </row>
    <row r="29" spans="2:3" ht="18" x14ac:dyDescent="0.3">
      <c r="B29" s="36"/>
      <c r="C29" s="37"/>
    </row>
    <row r="30" spans="2:3" ht="18" x14ac:dyDescent="0.3">
      <c r="B30" s="36"/>
      <c r="C30" s="37"/>
    </row>
    <row r="31" spans="2:3" ht="18" x14ac:dyDescent="0.3">
      <c r="B31" s="36"/>
      <c r="C31" s="37"/>
    </row>
    <row r="32" spans="2:3" ht="18" x14ac:dyDescent="0.3">
      <c r="B32" s="36"/>
      <c r="C32" s="37"/>
    </row>
    <row r="33" spans="2:3" ht="18" x14ac:dyDescent="0.3">
      <c r="B33" s="36"/>
      <c r="C33" s="37"/>
    </row>
    <row r="34" spans="2:3" ht="18" x14ac:dyDescent="0.3">
      <c r="B34" s="36"/>
      <c r="C34" s="37"/>
    </row>
    <row r="35" spans="2:3" ht="18" x14ac:dyDescent="0.3">
      <c r="B35" s="36"/>
      <c r="C35" s="37"/>
    </row>
    <row r="36" spans="2:3" ht="18" x14ac:dyDescent="0.3">
      <c r="B36" s="36"/>
      <c r="C36" s="37"/>
    </row>
    <row r="37" spans="2:3" ht="18" x14ac:dyDescent="0.3">
      <c r="B37" s="36"/>
      <c r="C37" s="37"/>
    </row>
    <row r="38" spans="2:3" ht="18" x14ac:dyDescent="0.3">
      <c r="B38" s="36"/>
      <c r="C38" s="37"/>
    </row>
  </sheetData>
  <mergeCells count="17">
    <mergeCell ref="C1:Z1"/>
    <mergeCell ref="AC3:AC4"/>
    <mergeCell ref="AC5:AC6"/>
    <mergeCell ref="AC7:AC8"/>
    <mergeCell ref="AC9:AC10"/>
    <mergeCell ref="AB3:AB4"/>
    <mergeCell ref="AB5:AB6"/>
    <mergeCell ref="AB7:AB8"/>
    <mergeCell ref="AB9:AB10"/>
    <mergeCell ref="B3:B4"/>
    <mergeCell ref="B5:B6"/>
    <mergeCell ref="B7:B8"/>
    <mergeCell ref="B9:B10"/>
    <mergeCell ref="AA3:AA4"/>
    <mergeCell ref="AA5:AA6"/>
    <mergeCell ref="AA7:AA8"/>
    <mergeCell ref="AA9:AA10"/>
  </mergeCells>
  <conditionalFormatting sqref="C3:Z10">
    <cfRule type="cellIs" dxfId="5" priority="8" operator="greaterThan">
      <formula>27</formula>
    </cfRule>
  </conditionalFormatting>
  <conditionalFormatting sqref="C4:Z4">
    <cfRule type="cellIs" dxfId="4" priority="6" operator="lessThan">
      <formula>100</formula>
    </cfRule>
  </conditionalFormatting>
  <conditionalFormatting sqref="C6:Z6">
    <cfRule type="cellIs" dxfId="3" priority="5" operator="lessThan">
      <formula>100</formula>
    </cfRule>
  </conditionalFormatting>
  <conditionalFormatting sqref="C8:Z8">
    <cfRule type="cellIs" dxfId="2" priority="4" operator="lessThan">
      <formula>100</formula>
    </cfRule>
  </conditionalFormatting>
  <conditionalFormatting sqref="C10:Z10">
    <cfRule type="cellIs" dxfId="1" priority="3" operator="lessThan">
      <formula>100</formula>
    </cfRule>
  </conditionalFormatting>
  <conditionalFormatting sqref="D15:G38">
    <cfRule type="cellIs" dxfId="0" priority="7" operator="greaterThan">
      <formula>27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8"/>
  <sheetViews>
    <sheetView workbookViewId="0">
      <selection activeCell="C100" sqref="C100"/>
    </sheetView>
  </sheetViews>
  <sheetFormatPr defaultColWidth="9.109375" defaultRowHeight="14.4" x14ac:dyDescent="0.3"/>
  <cols>
    <col min="1" max="1" width="9.33203125" style="1" bestFit="1" customWidth="1"/>
    <col min="2" max="2" width="9.6640625" style="1" bestFit="1" customWidth="1"/>
    <col min="3" max="3" width="21.33203125" style="5" customWidth="1"/>
    <col min="4" max="4" width="13" style="1" bestFit="1" customWidth="1"/>
    <col min="5" max="5" width="19.44140625" style="1" bestFit="1" customWidth="1"/>
    <col min="6" max="6" width="6.5546875" style="1" bestFit="1" customWidth="1"/>
    <col min="7" max="7" width="9.88671875" style="1" bestFit="1" customWidth="1"/>
    <col min="8" max="16384" width="9.109375" style="1"/>
  </cols>
  <sheetData>
    <row r="2" spans="1:14" s="8" customFormat="1" ht="15.6" x14ac:dyDescent="0.3">
      <c r="A2" s="6" t="s">
        <v>0</v>
      </c>
      <c r="B2" s="6" t="s">
        <v>1</v>
      </c>
      <c r="C2" s="7" t="s">
        <v>2</v>
      </c>
      <c r="D2" s="6" t="s">
        <v>3</v>
      </c>
      <c r="E2" s="6" t="s">
        <v>4</v>
      </c>
      <c r="F2" s="6" t="s">
        <v>5</v>
      </c>
      <c r="G2" s="6" t="s">
        <v>11</v>
      </c>
      <c r="L2" s="8" t="s">
        <v>6</v>
      </c>
      <c r="M2" s="8" t="s">
        <v>7</v>
      </c>
      <c r="N2" s="8" t="s">
        <v>8</v>
      </c>
    </row>
    <row r="3" spans="1:14" x14ac:dyDescent="0.3">
      <c r="A3" s="1">
        <v>1</v>
      </c>
      <c r="B3" s="1">
        <v>1</v>
      </c>
      <c r="C3" s="5">
        <v>45936</v>
      </c>
      <c r="D3" s="1">
        <v>10</v>
      </c>
      <c r="E3" s="1">
        <v>27</v>
      </c>
      <c r="F3" s="1">
        <f>IF(D3&gt;E3,1,0)</f>
        <v>0</v>
      </c>
      <c r="G3" s="1">
        <f>IF(D3&gt;20,(1-((D3-20)*0.025))*100,100)</f>
        <v>100</v>
      </c>
      <c r="L3" s="1">
        <f>M3-10</f>
        <v>5</v>
      </c>
      <c r="M3" s="1">
        <v>15</v>
      </c>
      <c r="N3" s="1">
        <f ca="1">RANDBETWEEN(L3,M3)</f>
        <v>6</v>
      </c>
    </row>
    <row r="4" spans="1:14" x14ac:dyDescent="0.3">
      <c r="A4" s="1">
        <v>2</v>
      </c>
      <c r="B4" s="1">
        <v>2</v>
      </c>
      <c r="C4" s="5">
        <v>45936</v>
      </c>
      <c r="D4" s="1">
        <v>11</v>
      </c>
      <c r="E4" s="1">
        <v>27</v>
      </c>
      <c r="F4" s="1">
        <f t="shared" ref="F4:F67" si="0">IF(D4&gt;E4,1,0)</f>
        <v>0</v>
      </c>
      <c r="G4" s="1">
        <f t="shared" ref="G4:G67" si="1">IF(D4&gt;20,(1-((D4-20)*0.025))*100,100)</f>
        <v>100</v>
      </c>
      <c r="L4" s="1">
        <f t="shared" ref="L4:L67" si="2">M4-10</f>
        <v>6</v>
      </c>
      <c r="M4" s="1">
        <v>16</v>
      </c>
      <c r="N4" s="1">
        <f t="shared" ref="N4:N67" ca="1" si="3">RANDBETWEEN(L4,M4)</f>
        <v>10</v>
      </c>
    </row>
    <row r="5" spans="1:14" x14ac:dyDescent="0.3">
      <c r="A5" s="1">
        <v>3</v>
      </c>
      <c r="B5" s="1">
        <v>3</v>
      </c>
      <c r="C5" s="5">
        <v>45936</v>
      </c>
      <c r="D5" s="1">
        <v>6</v>
      </c>
      <c r="E5" s="1">
        <v>27</v>
      </c>
      <c r="F5" s="1">
        <f t="shared" si="0"/>
        <v>0</v>
      </c>
      <c r="G5" s="1">
        <f t="shared" si="1"/>
        <v>100</v>
      </c>
      <c r="L5" s="1">
        <f t="shared" si="2"/>
        <v>6</v>
      </c>
      <c r="M5" s="1">
        <v>16</v>
      </c>
      <c r="N5" s="1">
        <f t="shared" ca="1" si="3"/>
        <v>14</v>
      </c>
    </row>
    <row r="6" spans="1:14" x14ac:dyDescent="0.3">
      <c r="A6" s="1">
        <v>4</v>
      </c>
      <c r="B6" s="1">
        <v>4</v>
      </c>
      <c r="C6" s="5">
        <v>45936</v>
      </c>
      <c r="D6" s="1">
        <v>16</v>
      </c>
      <c r="E6" s="1">
        <v>27</v>
      </c>
      <c r="F6" s="1">
        <f t="shared" si="0"/>
        <v>0</v>
      </c>
      <c r="G6" s="1">
        <f t="shared" si="1"/>
        <v>100</v>
      </c>
      <c r="L6" s="1">
        <f t="shared" si="2"/>
        <v>7</v>
      </c>
      <c r="M6" s="1">
        <v>17</v>
      </c>
      <c r="N6" s="1">
        <f t="shared" ca="1" si="3"/>
        <v>7</v>
      </c>
    </row>
    <row r="7" spans="1:14" x14ac:dyDescent="0.3">
      <c r="A7" s="1">
        <v>5</v>
      </c>
      <c r="B7" s="1">
        <v>1</v>
      </c>
      <c r="C7" s="5">
        <f>C3+TIME(1,0,0)</f>
        <v>45936.041666666664</v>
      </c>
      <c r="D7" s="1">
        <v>7</v>
      </c>
      <c r="E7" s="1">
        <v>27</v>
      </c>
      <c r="F7" s="1">
        <f t="shared" si="0"/>
        <v>0</v>
      </c>
      <c r="G7" s="1">
        <f t="shared" si="1"/>
        <v>100</v>
      </c>
      <c r="L7" s="1">
        <f t="shared" si="2"/>
        <v>7</v>
      </c>
      <c r="M7" s="1">
        <v>17</v>
      </c>
      <c r="N7" s="1">
        <f t="shared" ca="1" si="3"/>
        <v>16</v>
      </c>
    </row>
    <row r="8" spans="1:14" x14ac:dyDescent="0.3">
      <c r="A8" s="1">
        <v>6</v>
      </c>
      <c r="B8" s="1">
        <v>2</v>
      </c>
      <c r="C8" s="5">
        <f t="shared" ref="C8:C71" si="4">C4+TIME(1,0,0)</f>
        <v>45936.041666666664</v>
      </c>
      <c r="D8" s="1">
        <v>18</v>
      </c>
      <c r="E8" s="1">
        <v>27</v>
      </c>
      <c r="F8" s="1">
        <f t="shared" si="0"/>
        <v>0</v>
      </c>
      <c r="G8" s="1">
        <f t="shared" si="1"/>
        <v>100</v>
      </c>
      <c r="L8" s="1">
        <f t="shared" si="2"/>
        <v>8</v>
      </c>
      <c r="M8" s="1">
        <v>18</v>
      </c>
      <c r="N8" s="1">
        <f t="shared" ca="1" si="3"/>
        <v>15</v>
      </c>
    </row>
    <row r="9" spans="1:14" x14ac:dyDescent="0.3">
      <c r="A9" s="1">
        <v>7</v>
      </c>
      <c r="B9" s="1">
        <v>3</v>
      </c>
      <c r="C9" s="5">
        <f t="shared" si="4"/>
        <v>45936.041666666664</v>
      </c>
      <c r="D9" s="1">
        <v>12</v>
      </c>
      <c r="E9" s="1">
        <v>27</v>
      </c>
      <c r="F9" s="1">
        <f t="shared" si="0"/>
        <v>0</v>
      </c>
      <c r="G9" s="1">
        <f t="shared" si="1"/>
        <v>100</v>
      </c>
      <c r="L9" s="1">
        <f t="shared" si="2"/>
        <v>8</v>
      </c>
      <c r="M9" s="1">
        <v>18</v>
      </c>
      <c r="N9" s="1">
        <f t="shared" ca="1" si="3"/>
        <v>17</v>
      </c>
    </row>
    <row r="10" spans="1:14" x14ac:dyDescent="0.3">
      <c r="A10" s="1">
        <v>8</v>
      </c>
      <c r="B10" s="1">
        <v>4</v>
      </c>
      <c r="C10" s="5">
        <f t="shared" si="4"/>
        <v>45936.041666666664</v>
      </c>
      <c r="D10" s="1">
        <v>9</v>
      </c>
      <c r="E10" s="1">
        <v>27</v>
      </c>
      <c r="F10" s="1">
        <f t="shared" si="0"/>
        <v>0</v>
      </c>
      <c r="G10" s="1">
        <f t="shared" si="1"/>
        <v>100</v>
      </c>
      <c r="L10" s="1">
        <f t="shared" si="2"/>
        <v>8</v>
      </c>
      <c r="M10" s="1">
        <v>18</v>
      </c>
      <c r="N10" s="1">
        <f t="shared" ca="1" si="3"/>
        <v>10</v>
      </c>
    </row>
    <row r="11" spans="1:14" x14ac:dyDescent="0.3">
      <c r="A11" s="1">
        <v>9</v>
      </c>
      <c r="B11" s="1">
        <v>1</v>
      </c>
      <c r="C11" s="5">
        <f t="shared" si="4"/>
        <v>45936.083333333328</v>
      </c>
      <c r="D11" s="1">
        <v>18</v>
      </c>
      <c r="E11" s="1">
        <v>27</v>
      </c>
      <c r="F11" s="1">
        <f t="shared" si="0"/>
        <v>0</v>
      </c>
      <c r="G11" s="1">
        <f t="shared" si="1"/>
        <v>100</v>
      </c>
      <c r="L11" s="1">
        <f t="shared" si="2"/>
        <v>8</v>
      </c>
      <c r="M11" s="1">
        <v>18</v>
      </c>
      <c r="N11" s="1">
        <f t="shared" ca="1" si="3"/>
        <v>17</v>
      </c>
    </row>
    <row r="12" spans="1:14" x14ac:dyDescent="0.3">
      <c r="A12" s="1">
        <v>10</v>
      </c>
      <c r="B12" s="1">
        <v>2</v>
      </c>
      <c r="C12" s="5">
        <f t="shared" si="4"/>
        <v>45936.083333333328</v>
      </c>
      <c r="D12" s="1">
        <v>17</v>
      </c>
      <c r="E12" s="1">
        <v>27</v>
      </c>
      <c r="F12" s="1">
        <f t="shared" si="0"/>
        <v>0</v>
      </c>
      <c r="G12" s="1">
        <f t="shared" si="1"/>
        <v>100</v>
      </c>
      <c r="L12" s="1">
        <f t="shared" si="2"/>
        <v>9</v>
      </c>
      <c r="M12" s="1">
        <v>19</v>
      </c>
      <c r="N12" s="1">
        <f t="shared" ca="1" si="3"/>
        <v>10</v>
      </c>
    </row>
    <row r="13" spans="1:14" x14ac:dyDescent="0.3">
      <c r="A13" s="1">
        <v>11</v>
      </c>
      <c r="B13" s="1">
        <v>3</v>
      </c>
      <c r="C13" s="5">
        <f t="shared" si="4"/>
        <v>45936.083333333328</v>
      </c>
      <c r="D13" s="1">
        <v>11</v>
      </c>
      <c r="E13" s="1">
        <v>27</v>
      </c>
      <c r="F13" s="1">
        <f t="shared" si="0"/>
        <v>0</v>
      </c>
      <c r="G13" s="1">
        <f t="shared" si="1"/>
        <v>100</v>
      </c>
      <c r="L13" s="1">
        <f t="shared" si="2"/>
        <v>9</v>
      </c>
      <c r="M13" s="1">
        <v>19</v>
      </c>
      <c r="N13" s="1">
        <f t="shared" ca="1" si="3"/>
        <v>13</v>
      </c>
    </row>
    <row r="14" spans="1:14" x14ac:dyDescent="0.3">
      <c r="A14" s="1">
        <v>12</v>
      </c>
      <c r="B14" s="1">
        <v>4</v>
      </c>
      <c r="C14" s="5">
        <f t="shared" si="4"/>
        <v>45936.083333333328</v>
      </c>
      <c r="D14" s="1">
        <v>17</v>
      </c>
      <c r="E14" s="1">
        <v>27</v>
      </c>
      <c r="F14" s="1">
        <f t="shared" si="0"/>
        <v>0</v>
      </c>
      <c r="G14" s="1">
        <f t="shared" si="1"/>
        <v>100</v>
      </c>
      <c r="L14" s="1">
        <f t="shared" si="2"/>
        <v>9</v>
      </c>
      <c r="M14" s="1">
        <v>19</v>
      </c>
      <c r="N14" s="1">
        <f t="shared" ca="1" si="3"/>
        <v>18</v>
      </c>
    </row>
    <row r="15" spans="1:14" x14ac:dyDescent="0.3">
      <c r="A15" s="1">
        <v>13</v>
      </c>
      <c r="B15" s="1">
        <v>1</v>
      </c>
      <c r="C15" s="5">
        <f t="shared" si="4"/>
        <v>45936.124999999993</v>
      </c>
      <c r="D15" s="1">
        <v>18</v>
      </c>
      <c r="E15" s="1">
        <v>27</v>
      </c>
      <c r="F15" s="1">
        <f t="shared" si="0"/>
        <v>0</v>
      </c>
      <c r="G15" s="1">
        <f t="shared" si="1"/>
        <v>100</v>
      </c>
      <c r="L15" s="1">
        <f t="shared" si="2"/>
        <v>9</v>
      </c>
      <c r="M15" s="1">
        <v>19</v>
      </c>
      <c r="N15" s="1">
        <f t="shared" ca="1" si="3"/>
        <v>13</v>
      </c>
    </row>
    <row r="16" spans="1:14" x14ac:dyDescent="0.3">
      <c r="A16" s="1">
        <v>14</v>
      </c>
      <c r="B16" s="1">
        <v>2</v>
      </c>
      <c r="C16" s="5">
        <f t="shared" si="4"/>
        <v>45936.124999999993</v>
      </c>
      <c r="D16" s="1">
        <v>12</v>
      </c>
      <c r="E16" s="1">
        <v>27</v>
      </c>
      <c r="F16" s="1">
        <f t="shared" si="0"/>
        <v>0</v>
      </c>
      <c r="G16" s="1">
        <f t="shared" si="1"/>
        <v>100</v>
      </c>
      <c r="L16" s="1">
        <f t="shared" si="2"/>
        <v>10</v>
      </c>
      <c r="M16" s="1">
        <v>20</v>
      </c>
      <c r="N16" s="1">
        <f t="shared" ca="1" si="3"/>
        <v>20</v>
      </c>
    </row>
    <row r="17" spans="1:14" x14ac:dyDescent="0.3">
      <c r="A17" s="1">
        <v>15</v>
      </c>
      <c r="B17" s="1">
        <v>3</v>
      </c>
      <c r="C17" s="5">
        <f t="shared" si="4"/>
        <v>45936.124999999993</v>
      </c>
      <c r="D17" s="1">
        <v>17</v>
      </c>
      <c r="E17" s="1">
        <v>27</v>
      </c>
      <c r="F17" s="1">
        <f t="shared" si="0"/>
        <v>0</v>
      </c>
      <c r="G17" s="1">
        <f t="shared" si="1"/>
        <v>100</v>
      </c>
      <c r="L17" s="1">
        <f t="shared" si="2"/>
        <v>10</v>
      </c>
      <c r="M17" s="1">
        <v>20</v>
      </c>
      <c r="N17" s="1">
        <f t="shared" ca="1" si="3"/>
        <v>14</v>
      </c>
    </row>
    <row r="18" spans="1:14" x14ac:dyDescent="0.3">
      <c r="A18" s="1">
        <v>16</v>
      </c>
      <c r="B18" s="1">
        <v>4</v>
      </c>
      <c r="C18" s="5">
        <f t="shared" si="4"/>
        <v>45936.124999999993</v>
      </c>
      <c r="D18" s="1">
        <v>15</v>
      </c>
      <c r="E18" s="1">
        <v>27</v>
      </c>
      <c r="F18" s="1">
        <f t="shared" si="0"/>
        <v>0</v>
      </c>
      <c r="G18" s="1">
        <f t="shared" si="1"/>
        <v>100</v>
      </c>
      <c r="L18" s="1">
        <f t="shared" si="2"/>
        <v>10</v>
      </c>
      <c r="M18" s="1">
        <v>20</v>
      </c>
      <c r="N18" s="1">
        <f t="shared" ca="1" si="3"/>
        <v>19</v>
      </c>
    </row>
    <row r="19" spans="1:14" x14ac:dyDescent="0.3">
      <c r="A19" s="1">
        <v>17</v>
      </c>
      <c r="B19" s="1">
        <v>1</v>
      </c>
      <c r="C19" s="5">
        <f t="shared" si="4"/>
        <v>45936.166666666657</v>
      </c>
      <c r="D19" s="1">
        <v>19</v>
      </c>
      <c r="E19" s="1">
        <v>27</v>
      </c>
      <c r="F19" s="1">
        <f t="shared" si="0"/>
        <v>0</v>
      </c>
      <c r="G19" s="1">
        <f t="shared" si="1"/>
        <v>100</v>
      </c>
      <c r="L19" s="1">
        <f t="shared" si="2"/>
        <v>11</v>
      </c>
      <c r="M19" s="1">
        <v>21</v>
      </c>
      <c r="N19" s="1">
        <f t="shared" ca="1" si="3"/>
        <v>21</v>
      </c>
    </row>
    <row r="20" spans="1:14" x14ac:dyDescent="0.3">
      <c r="A20" s="1">
        <v>18</v>
      </c>
      <c r="B20" s="1">
        <v>2</v>
      </c>
      <c r="C20" s="5">
        <f t="shared" si="4"/>
        <v>45936.166666666657</v>
      </c>
      <c r="D20" s="1">
        <v>11</v>
      </c>
      <c r="E20" s="1">
        <v>27</v>
      </c>
      <c r="F20" s="1">
        <f t="shared" si="0"/>
        <v>0</v>
      </c>
      <c r="G20" s="1">
        <f t="shared" si="1"/>
        <v>100</v>
      </c>
      <c r="L20" s="1">
        <f t="shared" si="2"/>
        <v>11</v>
      </c>
      <c r="M20" s="1">
        <v>21</v>
      </c>
      <c r="N20" s="1">
        <f t="shared" ca="1" si="3"/>
        <v>12</v>
      </c>
    </row>
    <row r="21" spans="1:14" x14ac:dyDescent="0.3">
      <c r="A21" s="1">
        <v>19</v>
      </c>
      <c r="B21" s="1">
        <v>3</v>
      </c>
      <c r="C21" s="5">
        <f t="shared" si="4"/>
        <v>45936.166666666657</v>
      </c>
      <c r="D21" s="1">
        <v>13</v>
      </c>
      <c r="E21" s="1">
        <v>27</v>
      </c>
      <c r="F21" s="1">
        <f t="shared" si="0"/>
        <v>0</v>
      </c>
      <c r="G21" s="1">
        <f t="shared" si="1"/>
        <v>100</v>
      </c>
      <c r="L21" s="1">
        <f t="shared" si="2"/>
        <v>11</v>
      </c>
      <c r="M21" s="1">
        <v>21</v>
      </c>
      <c r="N21" s="1">
        <f t="shared" ca="1" si="3"/>
        <v>20</v>
      </c>
    </row>
    <row r="22" spans="1:14" x14ac:dyDescent="0.3">
      <c r="A22" s="1">
        <v>20</v>
      </c>
      <c r="B22" s="1">
        <v>4</v>
      </c>
      <c r="C22" s="5">
        <f t="shared" si="4"/>
        <v>45936.166666666657</v>
      </c>
      <c r="D22" s="1">
        <v>12</v>
      </c>
      <c r="E22" s="1">
        <v>27</v>
      </c>
      <c r="F22" s="1">
        <f t="shared" si="0"/>
        <v>0</v>
      </c>
      <c r="G22" s="1">
        <f t="shared" si="1"/>
        <v>100</v>
      </c>
      <c r="L22" s="1">
        <f t="shared" si="2"/>
        <v>12</v>
      </c>
      <c r="M22" s="1">
        <v>22</v>
      </c>
      <c r="N22" s="1">
        <f t="shared" ca="1" si="3"/>
        <v>17</v>
      </c>
    </row>
    <row r="23" spans="1:14" x14ac:dyDescent="0.3">
      <c r="A23" s="1">
        <v>21</v>
      </c>
      <c r="B23" s="1">
        <v>1</v>
      </c>
      <c r="C23" s="5">
        <f t="shared" si="4"/>
        <v>45936.208333333321</v>
      </c>
      <c r="D23" s="1">
        <v>21</v>
      </c>
      <c r="E23" s="1">
        <v>27</v>
      </c>
      <c r="F23" s="1">
        <f t="shared" si="0"/>
        <v>0</v>
      </c>
      <c r="G23" s="1">
        <f t="shared" si="1"/>
        <v>97.5</v>
      </c>
      <c r="L23" s="1">
        <f t="shared" si="2"/>
        <v>12</v>
      </c>
      <c r="M23" s="1">
        <v>22</v>
      </c>
      <c r="N23" s="1">
        <f t="shared" ca="1" si="3"/>
        <v>18</v>
      </c>
    </row>
    <row r="24" spans="1:14" x14ac:dyDescent="0.3">
      <c r="A24" s="1">
        <v>22</v>
      </c>
      <c r="B24" s="1">
        <v>2</v>
      </c>
      <c r="C24" s="5">
        <f t="shared" si="4"/>
        <v>45936.208333333321</v>
      </c>
      <c r="D24" s="1">
        <v>12</v>
      </c>
      <c r="E24" s="1">
        <v>27</v>
      </c>
      <c r="F24" s="1">
        <f t="shared" si="0"/>
        <v>0</v>
      </c>
      <c r="G24" s="1">
        <f t="shared" si="1"/>
        <v>100</v>
      </c>
      <c r="L24" s="1">
        <f t="shared" si="2"/>
        <v>12</v>
      </c>
      <c r="M24" s="1">
        <v>22</v>
      </c>
      <c r="N24" s="1">
        <f t="shared" ca="1" si="3"/>
        <v>14</v>
      </c>
    </row>
    <row r="25" spans="1:14" x14ac:dyDescent="0.3">
      <c r="A25" s="1">
        <v>23</v>
      </c>
      <c r="B25" s="1">
        <v>3</v>
      </c>
      <c r="C25" s="5">
        <f t="shared" si="4"/>
        <v>45936.208333333321</v>
      </c>
      <c r="D25" s="1">
        <v>20</v>
      </c>
      <c r="E25" s="1">
        <v>27</v>
      </c>
      <c r="F25" s="1">
        <f t="shared" si="0"/>
        <v>0</v>
      </c>
      <c r="G25" s="1">
        <f t="shared" si="1"/>
        <v>100</v>
      </c>
      <c r="L25" s="1">
        <f t="shared" si="2"/>
        <v>12</v>
      </c>
      <c r="M25" s="1">
        <v>22</v>
      </c>
      <c r="N25" s="1">
        <f t="shared" ca="1" si="3"/>
        <v>22</v>
      </c>
    </row>
    <row r="26" spans="1:14" x14ac:dyDescent="0.3">
      <c r="A26" s="1">
        <v>24</v>
      </c>
      <c r="B26" s="1">
        <v>4</v>
      </c>
      <c r="C26" s="5">
        <f t="shared" si="4"/>
        <v>45936.208333333321</v>
      </c>
      <c r="D26" s="1">
        <v>22</v>
      </c>
      <c r="E26" s="1">
        <v>27</v>
      </c>
      <c r="F26" s="1">
        <f t="shared" si="0"/>
        <v>0</v>
      </c>
      <c r="G26" s="1">
        <f t="shared" si="1"/>
        <v>95</v>
      </c>
      <c r="L26" s="1">
        <f t="shared" si="2"/>
        <v>13</v>
      </c>
      <c r="M26" s="1">
        <v>23</v>
      </c>
      <c r="N26" s="1">
        <f t="shared" ca="1" si="3"/>
        <v>20</v>
      </c>
    </row>
    <row r="27" spans="1:14" x14ac:dyDescent="0.3">
      <c r="A27" s="1">
        <v>25</v>
      </c>
      <c r="B27" s="1">
        <v>1</v>
      </c>
      <c r="C27" s="5">
        <f t="shared" si="4"/>
        <v>45936.249999999985</v>
      </c>
      <c r="D27" s="1">
        <v>16</v>
      </c>
      <c r="E27" s="1">
        <v>27</v>
      </c>
      <c r="F27" s="1">
        <f t="shared" si="0"/>
        <v>0</v>
      </c>
      <c r="G27" s="1">
        <f t="shared" si="1"/>
        <v>100</v>
      </c>
      <c r="L27" s="1">
        <f t="shared" si="2"/>
        <v>13</v>
      </c>
      <c r="M27" s="1">
        <v>23</v>
      </c>
      <c r="N27" s="1">
        <f t="shared" ca="1" si="3"/>
        <v>14</v>
      </c>
    </row>
    <row r="28" spans="1:14" x14ac:dyDescent="0.3">
      <c r="A28" s="1">
        <v>26</v>
      </c>
      <c r="B28" s="1">
        <v>2</v>
      </c>
      <c r="C28" s="5">
        <f t="shared" si="4"/>
        <v>45936.249999999985</v>
      </c>
      <c r="D28" s="1">
        <v>15</v>
      </c>
      <c r="E28" s="1">
        <v>27</v>
      </c>
      <c r="F28" s="1">
        <f t="shared" si="0"/>
        <v>0</v>
      </c>
      <c r="G28" s="1">
        <f t="shared" si="1"/>
        <v>100</v>
      </c>
      <c r="L28" s="1">
        <f t="shared" si="2"/>
        <v>13</v>
      </c>
      <c r="M28" s="1">
        <v>23</v>
      </c>
      <c r="N28" s="1">
        <f t="shared" ca="1" si="3"/>
        <v>22</v>
      </c>
    </row>
    <row r="29" spans="1:14" x14ac:dyDescent="0.3">
      <c r="A29" s="1">
        <v>27</v>
      </c>
      <c r="B29" s="1">
        <v>3</v>
      </c>
      <c r="C29" s="5">
        <f t="shared" si="4"/>
        <v>45936.249999999985</v>
      </c>
      <c r="D29" s="1">
        <v>14</v>
      </c>
      <c r="E29" s="1">
        <v>27</v>
      </c>
      <c r="F29" s="1">
        <f t="shared" si="0"/>
        <v>0</v>
      </c>
      <c r="G29" s="1">
        <f t="shared" si="1"/>
        <v>100</v>
      </c>
      <c r="L29" s="1">
        <f t="shared" si="2"/>
        <v>13</v>
      </c>
      <c r="M29" s="1">
        <v>23</v>
      </c>
      <c r="N29" s="1">
        <f t="shared" ca="1" si="3"/>
        <v>16</v>
      </c>
    </row>
    <row r="30" spans="1:14" x14ac:dyDescent="0.3">
      <c r="A30" s="1">
        <v>28</v>
      </c>
      <c r="B30" s="1">
        <v>4</v>
      </c>
      <c r="C30" s="5">
        <f t="shared" si="4"/>
        <v>45936.249999999985</v>
      </c>
      <c r="D30" s="1">
        <v>16</v>
      </c>
      <c r="E30" s="1">
        <v>27</v>
      </c>
      <c r="F30" s="1">
        <f t="shared" si="0"/>
        <v>0</v>
      </c>
      <c r="G30" s="1">
        <f t="shared" si="1"/>
        <v>100</v>
      </c>
      <c r="L30" s="1">
        <f t="shared" si="2"/>
        <v>14</v>
      </c>
      <c r="M30" s="1">
        <v>24</v>
      </c>
      <c r="N30" s="1">
        <f t="shared" ca="1" si="3"/>
        <v>15</v>
      </c>
    </row>
    <row r="31" spans="1:14" x14ac:dyDescent="0.3">
      <c r="A31" s="1">
        <v>29</v>
      </c>
      <c r="B31" s="1">
        <v>1</v>
      </c>
      <c r="C31" s="5">
        <f t="shared" si="4"/>
        <v>45936.29166666665</v>
      </c>
      <c r="D31" s="1">
        <v>21</v>
      </c>
      <c r="E31" s="1">
        <v>27</v>
      </c>
      <c r="F31" s="1">
        <f t="shared" si="0"/>
        <v>0</v>
      </c>
      <c r="G31" s="1">
        <f t="shared" si="1"/>
        <v>97.5</v>
      </c>
      <c r="L31" s="1">
        <f t="shared" si="2"/>
        <v>14</v>
      </c>
      <c r="M31" s="1">
        <v>24</v>
      </c>
      <c r="N31" s="1">
        <f t="shared" ca="1" si="3"/>
        <v>16</v>
      </c>
    </row>
    <row r="32" spans="1:14" x14ac:dyDescent="0.3">
      <c r="A32" s="1">
        <v>30</v>
      </c>
      <c r="B32" s="1">
        <v>2</v>
      </c>
      <c r="C32" s="5">
        <f t="shared" si="4"/>
        <v>45936.29166666665</v>
      </c>
      <c r="D32" s="1">
        <v>22</v>
      </c>
      <c r="E32" s="1">
        <v>27</v>
      </c>
      <c r="F32" s="1">
        <f t="shared" si="0"/>
        <v>0</v>
      </c>
      <c r="G32" s="1">
        <f t="shared" si="1"/>
        <v>95</v>
      </c>
      <c r="L32" s="1">
        <f t="shared" si="2"/>
        <v>15</v>
      </c>
      <c r="M32" s="1">
        <v>25</v>
      </c>
      <c r="N32" s="1">
        <f t="shared" ca="1" si="3"/>
        <v>18</v>
      </c>
    </row>
    <row r="33" spans="1:14" x14ac:dyDescent="0.3">
      <c r="A33" s="1">
        <v>31</v>
      </c>
      <c r="B33" s="1">
        <v>3</v>
      </c>
      <c r="C33" s="5">
        <f t="shared" si="4"/>
        <v>45936.29166666665</v>
      </c>
      <c r="D33" s="1">
        <v>15</v>
      </c>
      <c r="E33" s="1">
        <v>27</v>
      </c>
      <c r="F33" s="1">
        <f t="shared" si="0"/>
        <v>0</v>
      </c>
      <c r="G33" s="1">
        <f t="shared" si="1"/>
        <v>100</v>
      </c>
      <c r="L33" s="1">
        <f t="shared" si="2"/>
        <v>15</v>
      </c>
      <c r="M33" s="1">
        <v>25</v>
      </c>
      <c r="N33" s="1">
        <f t="shared" ca="1" si="3"/>
        <v>15</v>
      </c>
    </row>
    <row r="34" spans="1:14" x14ac:dyDescent="0.3">
      <c r="A34" s="1">
        <v>32</v>
      </c>
      <c r="B34" s="1">
        <v>4</v>
      </c>
      <c r="C34" s="5">
        <f t="shared" si="4"/>
        <v>45936.29166666665</v>
      </c>
      <c r="D34" s="1">
        <v>16</v>
      </c>
      <c r="E34" s="1">
        <v>27</v>
      </c>
      <c r="F34" s="1">
        <f t="shared" si="0"/>
        <v>0</v>
      </c>
      <c r="G34" s="1">
        <f t="shared" si="1"/>
        <v>100</v>
      </c>
      <c r="L34" s="1">
        <f t="shared" si="2"/>
        <v>16</v>
      </c>
      <c r="M34" s="1">
        <v>26</v>
      </c>
      <c r="N34" s="1">
        <f t="shared" ca="1" si="3"/>
        <v>21</v>
      </c>
    </row>
    <row r="35" spans="1:14" x14ac:dyDescent="0.3">
      <c r="A35" s="1">
        <v>33</v>
      </c>
      <c r="B35" s="1">
        <v>1</v>
      </c>
      <c r="C35" s="5">
        <f t="shared" si="4"/>
        <v>45936.333333333314</v>
      </c>
      <c r="D35" s="1">
        <v>25</v>
      </c>
      <c r="E35" s="1">
        <v>27</v>
      </c>
      <c r="F35" s="1">
        <f t="shared" si="0"/>
        <v>0</v>
      </c>
      <c r="G35" s="1">
        <f t="shared" si="1"/>
        <v>87.5</v>
      </c>
      <c r="L35" s="1">
        <f t="shared" si="2"/>
        <v>16</v>
      </c>
      <c r="M35" s="1">
        <v>26</v>
      </c>
      <c r="N35" s="1">
        <f t="shared" ca="1" si="3"/>
        <v>24</v>
      </c>
    </row>
    <row r="36" spans="1:14" x14ac:dyDescent="0.3">
      <c r="A36" s="1">
        <v>34</v>
      </c>
      <c r="B36" s="1">
        <v>2</v>
      </c>
      <c r="C36" s="5">
        <f t="shared" si="4"/>
        <v>45936.333333333314</v>
      </c>
      <c r="D36" s="1">
        <v>22</v>
      </c>
      <c r="E36" s="1">
        <v>27</v>
      </c>
      <c r="F36" s="1">
        <f t="shared" si="0"/>
        <v>0</v>
      </c>
      <c r="G36" s="1">
        <f t="shared" si="1"/>
        <v>95</v>
      </c>
      <c r="L36" s="1">
        <f t="shared" si="2"/>
        <v>17</v>
      </c>
      <c r="M36" s="1">
        <v>27</v>
      </c>
      <c r="N36" s="1">
        <f t="shared" ca="1" si="3"/>
        <v>21</v>
      </c>
    </row>
    <row r="37" spans="1:14" x14ac:dyDescent="0.3">
      <c r="A37" s="1">
        <v>35</v>
      </c>
      <c r="B37" s="1">
        <v>3</v>
      </c>
      <c r="C37" s="5">
        <f t="shared" si="4"/>
        <v>45936.333333333314</v>
      </c>
      <c r="D37" s="1">
        <v>19</v>
      </c>
      <c r="E37" s="1">
        <v>27</v>
      </c>
      <c r="F37" s="1">
        <f t="shared" si="0"/>
        <v>0</v>
      </c>
      <c r="G37" s="1">
        <f t="shared" si="1"/>
        <v>100</v>
      </c>
      <c r="L37" s="1">
        <f t="shared" si="2"/>
        <v>17</v>
      </c>
      <c r="M37" s="1">
        <v>27</v>
      </c>
      <c r="N37" s="1">
        <f t="shared" ca="1" si="3"/>
        <v>23</v>
      </c>
    </row>
    <row r="38" spans="1:14" x14ac:dyDescent="0.3">
      <c r="A38" s="1">
        <v>36</v>
      </c>
      <c r="B38" s="1">
        <v>4</v>
      </c>
      <c r="C38" s="5">
        <f t="shared" si="4"/>
        <v>45936.333333333314</v>
      </c>
      <c r="D38" s="1">
        <v>22</v>
      </c>
      <c r="E38" s="1">
        <v>27</v>
      </c>
      <c r="F38" s="1">
        <f t="shared" si="0"/>
        <v>0</v>
      </c>
      <c r="G38" s="1">
        <f t="shared" si="1"/>
        <v>95</v>
      </c>
      <c r="L38" s="1">
        <f t="shared" si="2"/>
        <v>18</v>
      </c>
      <c r="M38" s="1">
        <v>28</v>
      </c>
      <c r="N38" s="1">
        <f t="shared" ca="1" si="3"/>
        <v>24</v>
      </c>
    </row>
    <row r="39" spans="1:14" x14ac:dyDescent="0.3">
      <c r="A39" s="1">
        <v>37</v>
      </c>
      <c r="B39" s="1">
        <v>1</v>
      </c>
      <c r="C39" s="5">
        <f t="shared" si="4"/>
        <v>45936.374999999978</v>
      </c>
      <c r="D39" s="1">
        <v>24</v>
      </c>
      <c r="E39" s="1">
        <v>27</v>
      </c>
      <c r="F39" s="1">
        <f t="shared" si="0"/>
        <v>0</v>
      </c>
      <c r="G39" s="1">
        <f t="shared" si="1"/>
        <v>90</v>
      </c>
      <c r="L39" s="1">
        <f t="shared" si="2"/>
        <v>18</v>
      </c>
      <c r="M39" s="1">
        <v>28</v>
      </c>
      <c r="N39" s="1">
        <f t="shared" ca="1" si="3"/>
        <v>22</v>
      </c>
    </row>
    <row r="40" spans="1:14" x14ac:dyDescent="0.3">
      <c r="A40" s="1">
        <v>38</v>
      </c>
      <c r="B40" s="1">
        <v>2</v>
      </c>
      <c r="C40" s="5">
        <f t="shared" si="4"/>
        <v>45936.374999999978</v>
      </c>
      <c r="D40" s="1">
        <v>29</v>
      </c>
      <c r="E40" s="1">
        <v>27</v>
      </c>
      <c r="F40" s="1">
        <f t="shared" si="0"/>
        <v>1</v>
      </c>
      <c r="G40" s="1">
        <f t="shared" si="1"/>
        <v>77.5</v>
      </c>
      <c r="L40" s="1">
        <f t="shared" si="2"/>
        <v>19</v>
      </c>
      <c r="M40" s="1">
        <v>29</v>
      </c>
      <c r="N40" s="1">
        <f t="shared" ca="1" si="3"/>
        <v>29</v>
      </c>
    </row>
    <row r="41" spans="1:14" x14ac:dyDescent="0.3">
      <c r="A41" s="1">
        <v>39</v>
      </c>
      <c r="B41" s="1">
        <v>3</v>
      </c>
      <c r="C41" s="5">
        <f t="shared" si="4"/>
        <v>45936.374999999978</v>
      </c>
      <c r="D41" s="1">
        <v>29</v>
      </c>
      <c r="E41" s="1">
        <v>27</v>
      </c>
      <c r="F41" s="1">
        <f t="shared" si="0"/>
        <v>1</v>
      </c>
      <c r="G41" s="1">
        <f t="shared" si="1"/>
        <v>77.5</v>
      </c>
      <c r="L41" s="1">
        <f t="shared" si="2"/>
        <v>19</v>
      </c>
      <c r="M41" s="1">
        <v>29</v>
      </c>
      <c r="N41" s="1">
        <f t="shared" ca="1" si="3"/>
        <v>27</v>
      </c>
    </row>
    <row r="42" spans="1:14" x14ac:dyDescent="0.3">
      <c r="A42" s="1">
        <v>40</v>
      </c>
      <c r="B42" s="1">
        <v>4</v>
      </c>
      <c r="C42" s="5">
        <f t="shared" si="4"/>
        <v>45936.374999999978</v>
      </c>
      <c r="D42" s="1">
        <v>26</v>
      </c>
      <c r="E42" s="1">
        <v>27</v>
      </c>
      <c r="F42" s="1">
        <f t="shared" si="0"/>
        <v>0</v>
      </c>
      <c r="G42" s="1">
        <f t="shared" si="1"/>
        <v>85</v>
      </c>
      <c r="L42" s="1">
        <f t="shared" si="2"/>
        <v>20</v>
      </c>
      <c r="M42" s="1">
        <v>30</v>
      </c>
      <c r="N42" s="1">
        <f t="shared" ca="1" si="3"/>
        <v>28</v>
      </c>
    </row>
    <row r="43" spans="1:14" x14ac:dyDescent="0.3">
      <c r="A43" s="1">
        <v>41</v>
      </c>
      <c r="B43" s="1">
        <v>1</v>
      </c>
      <c r="C43" s="5">
        <f t="shared" si="4"/>
        <v>45936.416666666642</v>
      </c>
      <c r="D43" s="1">
        <v>26</v>
      </c>
      <c r="E43" s="1">
        <v>27</v>
      </c>
      <c r="F43" s="1">
        <f t="shared" si="0"/>
        <v>0</v>
      </c>
      <c r="G43" s="1">
        <f t="shared" si="1"/>
        <v>85</v>
      </c>
      <c r="L43" s="1">
        <f t="shared" si="2"/>
        <v>20</v>
      </c>
      <c r="M43" s="1">
        <v>30</v>
      </c>
      <c r="N43" s="1">
        <f t="shared" ca="1" si="3"/>
        <v>25</v>
      </c>
    </row>
    <row r="44" spans="1:14" x14ac:dyDescent="0.3">
      <c r="A44" s="1">
        <v>42</v>
      </c>
      <c r="B44" s="1">
        <v>2</v>
      </c>
      <c r="C44" s="5">
        <f t="shared" si="4"/>
        <v>45936.416666666642</v>
      </c>
      <c r="D44" s="1">
        <v>29</v>
      </c>
      <c r="E44" s="1">
        <v>27</v>
      </c>
      <c r="F44" s="1">
        <f t="shared" si="0"/>
        <v>1</v>
      </c>
      <c r="G44" s="1">
        <f t="shared" si="1"/>
        <v>77.5</v>
      </c>
      <c r="L44" s="1">
        <f t="shared" si="2"/>
        <v>20</v>
      </c>
      <c r="M44" s="1">
        <v>30</v>
      </c>
      <c r="N44" s="1">
        <f t="shared" ca="1" si="3"/>
        <v>26</v>
      </c>
    </row>
    <row r="45" spans="1:14" x14ac:dyDescent="0.3">
      <c r="A45" s="1">
        <v>43</v>
      </c>
      <c r="B45" s="1">
        <v>3</v>
      </c>
      <c r="C45" s="5">
        <f t="shared" si="4"/>
        <v>45936.416666666642</v>
      </c>
      <c r="D45" s="1">
        <v>20</v>
      </c>
      <c r="E45" s="1">
        <v>27</v>
      </c>
      <c r="F45" s="1">
        <f t="shared" si="0"/>
        <v>0</v>
      </c>
      <c r="G45" s="1">
        <f t="shared" si="1"/>
        <v>100</v>
      </c>
      <c r="L45" s="1">
        <f t="shared" si="2"/>
        <v>20</v>
      </c>
      <c r="M45" s="1">
        <v>30</v>
      </c>
      <c r="N45" s="1">
        <f t="shared" ca="1" si="3"/>
        <v>21</v>
      </c>
    </row>
    <row r="46" spans="1:14" x14ac:dyDescent="0.3">
      <c r="A46" s="1">
        <v>44</v>
      </c>
      <c r="B46" s="1">
        <v>4</v>
      </c>
      <c r="C46" s="5">
        <f t="shared" si="4"/>
        <v>45936.416666666642</v>
      </c>
      <c r="D46" s="1">
        <v>22</v>
      </c>
      <c r="E46" s="1">
        <v>27</v>
      </c>
      <c r="F46" s="1">
        <f t="shared" si="0"/>
        <v>0</v>
      </c>
      <c r="G46" s="1">
        <f t="shared" si="1"/>
        <v>95</v>
      </c>
      <c r="L46" s="1">
        <f t="shared" si="2"/>
        <v>20</v>
      </c>
      <c r="M46" s="1">
        <v>30</v>
      </c>
      <c r="N46" s="1">
        <f t="shared" ca="1" si="3"/>
        <v>29</v>
      </c>
    </row>
    <row r="47" spans="1:14" x14ac:dyDescent="0.3">
      <c r="A47" s="1">
        <v>45</v>
      </c>
      <c r="B47" s="1">
        <v>1</v>
      </c>
      <c r="C47" s="5">
        <f t="shared" si="4"/>
        <v>45936.458333333307</v>
      </c>
      <c r="D47" s="1">
        <v>26</v>
      </c>
      <c r="E47" s="1">
        <v>27</v>
      </c>
      <c r="F47" s="1">
        <f t="shared" si="0"/>
        <v>0</v>
      </c>
      <c r="G47" s="1">
        <f t="shared" si="1"/>
        <v>85</v>
      </c>
      <c r="L47" s="1">
        <f t="shared" si="2"/>
        <v>21</v>
      </c>
      <c r="M47" s="1">
        <v>31</v>
      </c>
      <c r="N47" s="1">
        <f t="shared" ca="1" si="3"/>
        <v>25</v>
      </c>
    </row>
    <row r="48" spans="1:14" x14ac:dyDescent="0.3">
      <c r="A48" s="1">
        <v>46</v>
      </c>
      <c r="B48" s="1">
        <v>2</v>
      </c>
      <c r="C48" s="5">
        <f t="shared" si="4"/>
        <v>45936.458333333307</v>
      </c>
      <c r="D48" s="1">
        <v>26</v>
      </c>
      <c r="E48" s="1">
        <v>27</v>
      </c>
      <c r="F48" s="1">
        <f t="shared" si="0"/>
        <v>0</v>
      </c>
      <c r="G48" s="1">
        <f t="shared" si="1"/>
        <v>85</v>
      </c>
      <c r="L48" s="1">
        <f t="shared" si="2"/>
        <v>21</v>
      </c>
      <c r="M48" s="1">
        <v>31</v>
      </c>
      <c r="N48" s="1">
        <f t="shared" ca="1" si="3"/>
        <v>29</v>
      </c>
    </row>
    <row r="49" spans="1:14" x14ac:dyDescent="0.3">
      <c r="A49" s="1">
        <v>47</v>
      </c>
      <c r="B49" s="1">
        <v>3</v>
      </c>
      <c r="C49" s="5">
        <f t="shared" si="4"/>
        <v>45936.458333333307</v>
      </c>
      <c r="D49" s="1">
        <v>27</v>
      </c>
      <c r="E49" s="1">
        <v>27</v>
      </c>
      <c r="F49" s="1">
        <f t="shared" si="0"/>
        <v>0</v>
      </c>
      <c r="G49" s="1">
        <f t="shared" si="1"/>
        <v>82.5</v>
      </c>
      <c r="L49" s="1">
        <f t="shared" si="2"/>
        <v>21</v>
      </c>
      <c r="M49" s="1">
        <v>31</v>
      </c>
      <c r="N49" s="1">
        <f t="shared" ca="1" si="3"/>
        <v>22</v>
      </c>
    </row>
    <row r="50" spans="1:14" x14ac:dyDescent="0.3">
      <c r="A50" s="1">
        <v>48</v>
      </c>
      <c r="B50" s="1">
        <v>4</v>
      </c>
      <c r="C50" s="5">
        <f t="shared" si="4"/>
        <v>45936.458333333307</v>
      </c>
      <c r="D50" s="1">
        <v>32</v>
      </c>
      <c r="E50" s="1">
        <v>27</v>
      </c>
      <c r="F50" s="1">
        <f t="shared" si="0"/>
        <v>1</v>
      </c>
      <c r="G50" s="1">
        <f t="shared" si="1"/>
        <v>70</v>
      </c>
      <c r="L50" s="1">
        <f t="shared" si="2"/>
        <v>22</v>
      </c>
      <c r="M50" s="1">
        <v>32</v>
      </c>
      <c r="N50" s="1">
        <f t="shared" ca="1" si="3"/>
        <v>23</v>
      </c>
    </row>
    <row r="51" spans="1:14" x14ac:dyDescent="0.3">
      <c r="A51" s="1">
        <v>49</v>
      </c>
      <c r="B51" s="1">
        <v>1</v>
      </c>
      <c r="C51" s="5">
        <f t="shared" si="4"/>
        <v>45936.499999999971</v>
      </c>
      <c r="D51" s="1">
        <v>28</v>
      </c>
      <c r="E51" s="1">
        <v>27</v>
      </c>
      <c r="F51" s="1">
        <f t="shared" si="0"/>
        <v>1</v>
      </c>
      <c r="G51" s="1">
        <f t="shared" si="1"/>
        <v>80</v>
      </c>
      <c r="L51" s="1">
        <f t="shared" si="2"/>
        <v>22</v>
      </c>
      <c r="M51" s="1">
        <v>32</v>
      </c>
      <c r="N51" s="1">
        <f t="shared" ca="1" si="3"/>
        <v>32</v>
      </c>
    </row>
    <row r="52" spans="1:14" x14ac:dyDescent="0.3">
      <c r="A52" s="1">
        <v>50</v>
      </c>
      <c r="B52" s="1">
        <v>2</v>
      </c>
      <c r="C52" s="5">
        <f t="shared" si="4"/>
        <v>45936.499999999971</v>
      </c>
      <c r="D52" s="1">
        <v>23</v>
      </c>
      <c r="E52" s="1">
        <v>27</v>
      </c>
      <c r="F52" s="1">
        <f t="shared" si="0"/>
        <v>0</v>
      </c>
      <c r="G52" s="1">
        <f t="shared" si="1"/>
        <v>92.5</v>
      </c>
      <c r="L52" s="1">
        <f t="shared" si="2"/>
        <v>23</v>
      </c>
      <c r="M52" s="1">
        <v>33</v>
      </c>
      <c r="N52" s="1">
        <f t="shared" ca="1" si="3"/>
        <v>24</v>
      </c>
    </row>
    <row r="53" spans="1:14" x14ac:dyDescent="0.3">
      <c r="A53" s="1">
        <v>51</v>
      </c>
      <c r="B53" s="1">
        <v>3</v>
      </c>
      <c r="C53" s="5">
        <f t="shared" si="4"/>
        <v>45936.499999999971</v>
      </c>
      <c r="D53" s="1">
        <v>31</v>
      </c>
      <c r="E53" s="1">
        <v>27</v>
      </c>
      <c r="F53" s="1">
        <f t="shared" si="0"/>
        <v>1</v>
      </c>
      <c r="G53" s="1">
        <f t="shared" si="1"/>
        <v>72.5</v>
      </c>
      <c r="L53" s="1">
        <f t="shared" si="2"/>
        <v>23</v>
      </c>
      <c r="M53" s="1">
        <v>33</v>
      </c>
      <c r="N53" s="1">
        <f t="shared" ca="1" si="3"/>
        <v>27</v>
      </c>
    </row>
    <row r="54" spans="1:14" x14ac:dyDescent="0.3">
      <c r="A54" s="1">
        <v>52</v>
      </c>
      <c r="B54" s="1">
        <v>4</v>
      </c>
      <c r="C54" s="5">
        <f t="shared" si="4"/>
        <v>45936.499999999971</v>
      </c>
      <c r="D54" s="1">
        <v>31</v>
      </c>
      <c r="E54" s="1">
        <v>27</v>
      </c>
      <c r="F54" s="1">
        <f t="shared" si="0"/>
        <v>1</v>
      </c>
      <c r="G54" s="1">
        <f t="shared" si="1"/>
        <v>72.5</v>
      </c>
      <c r="L54" s="1">
        <f t="shared" si="2"/>
        <v>23</v>
      </c>
      <c r="M54" s="1">
        <v>33</v>
      </c>
      <c r="N54" s="1">
        <f t="shared" ca="1" si="3"/>
        <v>26</v>
      </c>
    </row>
    <row r="55" spans="1:14" x14ac:dyDescent="0.3">
      <c r="A55" s="1">
        <v>53</v>
      </c>
      <c r="B55" s="1">
        <v>1</v>
      </c>
      <c r="C55" s="5">
        <f t="shared" si="4"/>
        <v>45936.541666666635</v>
      </c>
      <c r="D55" s="1">
        <v>24</v>
      </c>
      <c r="E55" s="1">
        <v>27</v>
      </c>
      <c r="F55" s="1">
        <f t="shared" si="0"/>
        <v>0</v>
      </c>
      <c r="G55" s="1">
        <f t="shared" si="1"/>
        <v>90</v>
      </c>
      <c r="L55" s="1">
        <f t="shared" si="2"/>
        <v>24</v>
      </c>
      <c r="M55" s="1">
        <v>34</v>
      </c>
      <c r="N55" s="1">
        <f t="shared" ca="1" si="3"/>
        <v>32</v>
      </c>
    </row>
    <row r="56" spans="1:14" x14ac:dyDescent="0.3">
      <c r="A56" s="1">
        <v>54</v>
      </c>
      <c r="B56" s="1">
        <v>2</v>
      </c>
      <c r="C56" s="5">
        <f t="shared" si="4"/>
        <v>45936.541666666635</v>
      </c>
      <c r="D56" s="1">
        <v>33</v>
      </c>
      <c r="E56" s="1">
        <v>27</v>
      </c>
      <c r="F56" s="1">
        <f t="shared" si="0"/>
        <v>1</v>
      </c>
      <c r="G56" s="1">
        <f t="shared" si="1"/>
        <v>67.5</v>
      </c>
      <c r="L56" s="1">
        <f t="shared" si="2"/>
        <v>24</v>
      </c>
      <c r="M56" s="1">
        <v>34</v>
      </c>
      <c r="N56" s="1">
        <f t="shared" ca="1" si="3"/>
        <v>27</v>
      </c>
    </row>
    <row r="57" spans="1:14" x14ac:dyDescent="0.3">
      <c r="A57" s="1">
        <v>55</v>
      </c>
      <c r="B57" s="1">
        <v>3</v>
      </c>
      <c r="C57" s="5">
        <f t="shared" si="4"/>
        <v>45936.541666666635</v>
      </c>
      <c r="D57" s="1">
        <v>34</v>
      </c>
      <c r="E57" s="1">
        <v>27</v>
      </c>
      <c r="F57" s="1">
        <f t="shared" si="0"/>
        <v>1</v>
      </c>
      <c r="G57" s="1">
        <f t="shared" si="1"/>
        <v>64.999999999999986</v>
      </c>
      <c r="L57" s="1">
        <f t="shared" si="2"/>
        <v>25</v>
      </c>
      <c r="M57" s="1">
        <v>35</v>
      </c>
      <c r="N57" s="1">
        <f t="shared" ca="1" si="3"/>
        <v>27</v>
      </c>
    </row>
    <row r="58" spans="1:14" x14ac:dyDescent="0.3">
      <c r="A58" s="1">
        <v>56</v>
      </c>
      <c r="B58" s="1">
        <v>4</v>
      </c>
      <c r="C58" s="5">
        <f t="shared" si="4"/>
        <v>45936.541666666635</v>
      </c>
      <c r="D58" s="1">
        <v>29</v>
      </c>
      <c r="E58" s="1">
        <v>27</v>
      </c>
      <c r="F58" s="1">
        <f t="shared" si="0"/>
        <v>1</v>
      </c>
      <c r="G58" s="1">
        <f t="shared" si="1"/>
        <v>77.5</v>
      </c>
      <c r="L58" s="1">
        <f t="shared" si="2"/>
        <v>25</v>
      </c>
      <c r="M58" s="1">
        <v>35</v>
      </c>
      <c r="N58" s="1">
        <f t="shared" ca="1" si="3"/>
        <v>29</v>
      </c>
    </row>
    <row r="59" spans="1:14" x14ac:dyDescent="0.3">
      <c r="A59" s="1">
        <v>57</v>
      </c>
      <c r="B59" s="1">
        <v>1</v>
      </c>
      <c r="C59" s="5">
        <f t="shared" si="4"/>
        <v>45936.583333333299</v>
      </c>
      <c r="D59" s="1">
        <v>34</v>
      </c>
      <c r="E59" s="1">
        <v>27</v>
      </c>
      <c r="F59" s="1">
        <f t="shared" si="0"/>
        <v>1</v>
      </c>
      <c r="G59" s="1">
        <f t="shared" si="1"/>
        <v>64.999999999999986</v>
      </c>
      <c r="L59" s="1">
        <f t="shared" si="2"/>
        <v>25</v>
      </c>
      <c r="M59" s="1">
        <v>35</v>
      </c>
      <c r="N59" s="1">
        <f t="shared" ca="1" si="3"/>
        <v>34</v>
      </c>
    </row>
    <row r="60" spans="1:14" x14ac:dyDescent="0.3">
      <c r="A60" s="1">
        <v>58</v>
      </c>
      <c r="B60" s="1">
        <v>2</v>
      </c>
      <c r="C60" s="5">
        <f t="shared" si="4"/>
        <v>45936.583333333299</v>
      </c>
      <c r="D60" s="1">
        <v>27</v>
      </c>
      <c r="E60" s="1">
        <v>27</v>
      </c>
      <c r="F60" s="1">
        <f t="shared" si="0"/>
        <v>0</v>
      </c>
      <c r="G60" s="1">
        <f t="shared" si="1"/>
        <v>82.5</v>
      </c>
      <c r="L60" s="1">
        <f t="shared" si="2"/>
        <v>26</v>
      </c>
      <c r="M60" s="1">
        <v>36</v>
      </c>
      <c r="N60" s="1">
        <f t="shared" ca="1" si="3"/>
        <v>33</v>
      </c>
    </row>
    <row r="61" spans="1:14" x14ac:dyDescent="0.3">
      <c r="A61" s="1">
        <v>59</v>
      </c>
      <c r="B61" s="1">
        <v>3</v>
      </c>
      <c r="C61" s="5">
        <f t="shared" si="4"/>
        <v>45936.583333333299</v>
      </c>
      <c r="D61" s="1">
        <v>31</v>
      </c>
      <c r="E61" s="1">
        <v>27</v>
      </c>
      <c r="F61" s="1">
        <f t="shared" si="0"/>
        <v>1</v>
      </c>
      <c r="G61" s="1">
        <f t="shared" si="1"/>
        <v>72.5</v>
      </c>
      <c r="L61" s="1">
        <f t="shared" si="2"/>
        <v>26</v>
      </c>
      <c r="M61" s="1">
        <v>36</v>
      </c>
      <c r="N61" s="1">
        <f t="shared" ca="1" si="3"/>
        <v>31</v>
      </c>
    </row>
    <row r="62" spans="1:14" x14ac:dyDescent="0.3">
      <c r="A62" s="1">
        <v>60</v>
      </c>
      <c r="B62" s="1">
        <v>4</v>
      </c>
      <c r="C62" s="5">
        <f t="shared" si="4"/>
        <v>45936.583333333299</v>
      </c>
      <c r="D62" s="1">
        <v>30</v>
      </c>
      <c r="E62" s="1">
        <v>27</v>
      </c>
      <c r="F62" s="1">
        <f t="shared" si="0"/>
        <v>1</v>
      </c>
      <c r="G62" s="1">
        <f t="shared" si="1"/>
        <v>75</v>
      </c>
      <c r="L62" s="1">
        <f t="shared" si="2"/>
        <v>27</v>
      </c>
      <c r="M62" s="1">
        <v>37</v>
      </c>
      <c r="N62" s="1">
        <f t="shared" ca="1" si="3"/>
        <v>27</v>
      </c>
    </row>
    <row r="63" spans="1:14" x14ac:dyDescent="0.3">
      <c r="A63" s="1">
        <v>61</v>
      </c>
      <c r="B63" s="1">
        <v>1</v>
      </c>
      <c r="C63" s="5">
        <f t="shared" si="4"/>
        <v>45936.624999999964</v>
      </c>
      <c r="D63" s="1">
        <v>33</v>
      </c>
      <c r="E63" s="1">
        <v>27</v>
      </c>
      <c r="F63" s="1">
        <f t="shared" si="0"/>
        <v>1</v>
      </c>
      <c r="G63" s="1">
        <f t="shared" si="1"/>
        <v>67.5</v>
      </c>
      <c r="L63" s="1">
        <f t="shared" si="2"/>
        <v>27</v>
      </c>
      <c r="M63" s="1">
        <v>37</v>
      </c>
      <c r="N63" s="1">
        <f t="shared" ca="1" si="3"/>
        <v>35</v>
      </c>
    </row>
    <row r="64" spans="1:14" x14ac:dyDescent="0.3">
      <c r="A64" s="1">
        <v>62</v>
      </c>
      <c r="B64" s="1">
        <v>2</v>
      </c>
      <c r="C64" s="5">
        <f t="shared" si="4"/>
        <v>45936.624999999964</v>
      </c>
      <c r="D64" s="1">
        <v>32</v>
      </c>
      <c r="E64" s="1">
        <v>27</v>
      </c>
      <c r="F64" s="1">
        <f t="shared" si="0"/>
        <v>1</v>
      </c>
      <c r="G64" s="1">
        <f t="shared" si="1"/>
        <v>70</v>
      </c>
      <c r="L64" s="1">
        <f t="shared" si="2"/>
        <v>27</v>
      </c>
      <c r="M64" s="1">
        <v>37</v>
      </c>
      <c r="N64" s="1">
        <f t="shared" ca="1" si="3"/>
        <v>28</v>
      </c>
    </row>
    <row r="65" spans="1:14" x14ac:dyDescent="0.3">
      <c r="A65" s="1">
        <v>63</v>
      </c>
      <c r="B65" s="1">
        <v>3</v>
      </c>
      <c r="C65" s="5">
        <f t="shared" si="4"/>
        <v>45936.624999999964</v>
      </c>
      <c r="D65" s="1">
        <v>27</v>
      </c>
      <c r="E65" s="1">
        <v>27</v>
      </c>
      <c r="F65" s="1">
        <f t="shared" si="0"/>
        <v>0</v>
      </c>
      <c r="G65" s="1">
        <f t="shared" si="1"/>
        <v>82.5</v>
      </c>
      <c r="L65" s="1">
        <f t="shared" si="2"/>
        <v>26</v>
      </c>
      <c r="M65" s="1">
        <v>36</v>
      </c>
      <c r="N65" s="1">
        <f t="shared" ca="1" si="3"/>
        <v>33</v>
      </c>
    </row>
    <row r="66" spans="1:14" x14ac:dyDescent="0.3">
      <c r="A66" s="1">
        <v>64</v>
      </c>
      <c r="B66" s="1">
        <v>4</v>
      </c>
      <c r="C66" s="5">
        <f t="shared" si="4"/>
        <v>45936.624999999964</v>
      </c>
      <c r="D66" s="1">
        <v>27</v>
      </c>
      <c r="E66" s="1">
        <v>27</v>
      </c>
      <c r="F66" s="1">
        <f t="shared" si="0"/>
        <v>0</v>
      </c>
      <c r="G66" s="1">
        <f t="shared" si="1"/>
        <v>82.5</v>
      </c>
      <c r="L66" s="1">
        <f t="shared" si="2"/>
        <v>26</v>
      </c>
      <c r="M66" s="1">
        <v>36</v>
      </c>
      <c r="N66" s="1">
        <f t="shared" ca="1" si="3"/>
        <v>34</v>
      </c>
    </row>
    <row r="67" spans="1:14" x14ac:dyDescent="0.3">
      <c r="A67" s="1">
        <v>65</v>
      </c>
      <c r="B67" s="1">
        <v>1</v>
      </c>
      <c r="C67" s="5">
        <f t="shared" si="4"/>
        <v>45936.666666666628</v>
      </c>
      <c r="D67" s="1">
        <v>29</v>
      </c>
      <c r="E67" s="1">
        <v>27</v>
      </c>
      <c r="F67" s="1">
        <f t="shared" si="0"/>
        <v>1</v>
      </c>
      <c r="G67" s="1">
        <f t="shared" si="1"/>
        <v>77.5</v>
      </c>
      <c r="L67" s="1">
        <f t="shared" si="2"/>
        <v>25</v>
      </c>
      <c r="M67" s="1">
        <v>35</v>
      </c>
      <c r="N67" s="1">
        <f t="shared" ca="1" si="3"/>
        <v>27</v>
      </c>
    </row>
    <row r="68" spans="1:14" x14ac:dyDescent="0.3">
      <c r="A68" s="1">
        <v>66</v>
      </c>
      <c r="B68" s="1">
        <v>2</v>
      </c>
      <c r="C68" s="5">
        <f t="shared" si="4"/>
        <v>45936.666666666628</v>
      </c>
      <c r="D68" s="1">
        <v>33</v>
      </c>
      <c r="E68" s="1">
        <v>27</v>
      </c>
      <c r="F68" s="1">
        <f t="shared" ref="F68:F98" si="5">IF(D68&gt;E68,1,0)</f>
        <v>1</v>
      </c>
      <c r="G68" s="1">
        <f t="shared" ref="G68:G98" si="6">IF(D68&gt;20,(1-((D68-20)*0.025))*100,100)</f>
        <v>67.5</v>
      </c>
      <c r="L68" s="1">
        <f t="shared" ref="L68:L98" si="7">M68-10</f>
        <v>25</v>
      </c>
      <c r="M68" s="1">
        <v>35</v>
      </c>
      <c r="N68" s="1">
        <f t="shared" ref="N68:N98" ca="1" si="8">RANDBETWEEN(L68,M68)</f>
        <v>33</v>
      </c>
    </row>
    <row r="69" spans="1:14" x14ac:dyDescent="0.3">
      <c r="A69" s="1">
        <v>67</v>
      </c>
      <c r="B69" s="1">
        <v>3</v>
      </c>
      <c r="C69" s="5">
        <f t="shared" si="4"/>
        <v>45936.666666666628</v>
      </c>
      <c r="D69" s="1">
        <v>24</v>
      </c>
      <c r="E69" s="1">
        <v>27</v>
      </c>
      <c r="F69" s="1">
        <f t="shared" si="5"/>
        <v>0</v>
      </c>
      <c r="G69" s="1">
        <f t="shared" si="6"/>
        <v>90</v>
      </c>
      <c r="L69" s="1">
        <f t="shared" si="7"/>
        <v>24</v>
      </c>
      <c r="M69" s="1">
        <v>34</v>
      </c>
      <c r="N69" s="1">
        <f t="shared" ca="1" si="8"/>
        <v>34</v>
      </c>
    </row>
    <row r="70" spans="1:14" x14ac:dyDescent="0.3">
      <c r="A70" s="1">
        <v>68</v>
      </c>
      <c r="B70" s="1">
        <v>4</v>
      </c>
      <c r="C70" s="5">
        <f t="shared" si="4"/>
        <v>45936.666666666628</v>
      </c>
      <c r="D70" s="1">
        <v>24</v>
      </c>
      <c r="E70" s="1">
        <v>27</v>
      </c>
      <c r="F70" s="1">
        <f t="shared" si="5"/>
        <v>0</v>
      </c>
      <c r="G70" s="1">
        <f t="shared" si="6"/>
        <v>90</v>
      </c>
      <c r="L70" s="1">
        <f t="shared" si="7"/>
        <v>24</v>
      </c>
      <c r="M70" s="1">
        <v>34</v>
      </c>
      <c r="N70" s="1">
        <f t="shared" ca="1" si="8"/>
        <v>28</v>
      </c>
    </row>
    <row r="71" spans="1:14" x14ac:dyDescent="0.3">
      <c r="A71" s="1">
        <v>69</v>
      </c>
      <c r="B71" s="1">
        <v>1</v>
      </c>
      <c r="C71" s="5">
        <f t="shared" si="4"/>
        <v>45936.708333333292</v>
      </c>
      <c r="D71" s="1">
        <v>23</v>
      </c>
      <c r="E71" s="1">
        <v>27</v>
      </c>
      <c r="F71" s="1">
        <f t="shared" si="5"/>
        <v>0</v>
      </c>
      <c r="G71" s="1">
        <f t="shared" si="6"/>
        <v>92.5</v>
      </c>
      <c r="L71" s="1">
        <f t="shared" si="7"/>
        <v>23</v>
      </c>
      <c r="M71" s="1">
        <v>33</v>
      </c>
      <c r="N71" s="1">
        <f t="shared" ca="1" si="8"/>
        <v>23</v>
      </c>
    </row>
    <row r="72" spans="1:14" x14ac:dyDescent="0.3">
      <c r="A72" s="1">
        <v>70</v>
      </c>
      <c r="B72" s="1">
        <v>2</v>
      </c>
      <c r="C72" s="5">
        <f t="shared" ref="C72:C98" si="9">C68+TIME(1,0,0)</f>
        <v>45936.708333333292</v>
      </c>
      <c r="D72" s="1">
        <v>32</v>
      </c>
      <c r="E72" s="1">
        <v>27</v>
      </c>
      <c r="F72" s="1">
        <f t="shared" si="5"/>
        <v>1</v>
      </c>
      <c r="G72" s="1">
        <f t="shared" si="6"/>
        <v>70</v>
      </c>
      <c r="L72" s="1">
        <f t="shared" si="7"/>
        <v>23</v>
      </c>
      <c r="M72" s="1">
        <v>33</v>
      </c>
      <c r="N72" s="1">
        <f t="shared" ca="1" si="8"/>
        <v>29</v>
      </c>
    </row>
    <row r="73" spans="1:14" x14ac:dyDescent="0.3">
      <c r="A73" s="1">
        <v>71</v>
      </c>
      <c r="B73" s="1">
        <v>3</v>
      </c>
      <c r="C73" s="5">
        <f t="shared" si="9"/>
        <v>45936.708333333292</v>
      </c>
      <c r="D73" s="1">
        <v>31</v>
      </c>
      <c r="E73" s="1">
        <v>27</v>
      </c>
      <c r="F73" s="1">
        <f t="shared" si="5"/>
        <v>1</v>
      </c>
      <c r="G73" s="1">
        <f t="shared" si="6"/>
        <v>72.5</v>
      </c>
      <c r="L73" s="1">
        <f t="shared" si="7"/>
        <v>23</v>
      </c>
      <c r="M73" s="1">
        <v>33</v>
      </c>
      <c r="N73" s="1">
        <f t="shared" ca="1" si="8"/>
        <v>25</v>
      </c>
    </row>
    <row r="74" spans="1:14" x14ac:dyDescent="0.3">
      <c r="A74" s="1">
        <v>72</v>
      </c>
      <c r="B74" s="1">
        <v>4</v>
      </c>
      <c r="C74" s="5">
        <f t="shared" si="9"/>
        <v>45936.708333333292</v>
      </c>
      <c r="D74" s="1">
        <v>32</v>
      </c>
      <c r="E74" s="1">
        <v>27</v>
      </c>
      <c r="F74" s="1">
        <f t="shared" si="5"/>
        <v>1</v>
      </c>
      <c r="G74" s="1">
        <f t="shared" si="6"/>
        <v>70</v>
      </c>
      <c r="L74" s="1">
        <f t="shared" si="7"/>
        <v>22</v>
      </c>
      <c r="M74" s="1">
        <v>32</v>
      </c>
      <c r="N74" s="1">
        <f t="shared" ca="1" si="8"/>
        <v>29</v>
      </c>
    </row>
    <row r="75" spans="1:14" x14ac:dyDescent="0.3">
      <c r="A75" s="1">
        <v>73</v>
      </c>
      <c r="B75" s="1">
        <v>1</v>
      </c>
      <c r="C75" s="5">
        <f t="shared" si="9"/>
        <v>45936.749999999956</v>
      </c>
      <c r="D75" s="1">
        <v>23</v>
      </c>
      <c r="E75" s="1">
        <v>27</v>
      </c>
      <c r="F75" s="1">
        <f t="shared" si="5"/>
        <v>0</v>
      </c>
      <c r="G75" s="1">
        <f t="shared" si="6"/>
        <v>92.5</v>
      </c>
      <c r="L75" s="1">
        <f t="shared" si="7"/>
        <v>22</v>
      </c>
      <c r="M75" s="1">
        <v>32</v>
      </c>
      <c r="N75" s="1">
        <f t="shared" ca="1" si="8"/>
        <v>26</v>
      </c>
    </row>
    <row r="76" spans="1:14" x14ac:dyDescent="0.3">
      <c r="A76" s="1">
        <v>74</v>
      </c>
      <c r="B76" s="1">
        <v>2</v>
      </c>
      <c r="C76" s="5">
        <f t="shared" si="9"/>
        <v>45936.749999999956</v>
      </c>
      <c r="D76" s="1">
        <v>21</v>
      </c>
      <c r="E76" s="1">
        <v>27</v>
      </c>
      <c r="F76" s="1">
        <f t="shared" si="5"/>
        <v>0</v>
      </c>
      <c r="G76" s="1">
        <f t="shared" si="6"/>
        <v>97.5</v>
      </c>
      <c r="L76" s="1">
        <f t="shared" si="7"/>
        <v>21</v>
      </c>
      <c r="M76" s="1">
        <v>31</v>
      </c>
      <c r="N76" s="1">
        <f t="shared" ca="1" si="8"/>
        <v>27</v>
      </c>
    </row>
    <row r="77" spans="1:14" x14ac:dyDescent="0.3">
      <c r="A77" s="1">
        <v>75</v>
      </c>
      <c r="B77" s="1">
        <v>3</v>
      </c>
      <c r="C77" s="5">
        <f t="shared" si="9"/>
        <v>45936.749999999956</v>
      </c>
      <c r="D77" s="1">
        <v>29</v>
      </c>
      <c r="E77" s="1">
        <v>27</v>
      </c>
      <c r="F77" s="1">
        <f t="shared" si="5"/>
        <v>1</v>
      </c>
      <c r="G77" s="1">
        <f t="shared" si="6"/>
        <v>77.5</v>
      </c>
      <c r="L77" s="1">
        <f t="shared" si="7"/>
        <v>21</v>
      </c>
      <c r="M77" s="1">
        <v>31</v>
      </c>
      <c r="N77" s="1">
        <f t="shared" ca="1" si="8"/>
        <v>21</v>
      </c>
    </row>
    <row r="78" spans="1:14" x14ac:dyDescent="0.3">
      <c r="A78" s="1">
        <v>76</v>
      </c>
      <c r="B78" s="1">
        <v>4</v>
      </c>
      <c r="C78" s="5">
        <f t="shared" si="9"/>
        <v>45936.749999999956</v>
      </c>
      <c r="D78" s="1">
        <v>21</v>
      </c>
      <c r="E78" s="1">
        <v>27</v>
      </c>
      <c r="F78" s="1">
        <f t="shared" si="5"/>
        <v>0</v>
      </c>
      <c r="G78" s="1">
        <f t="shared" si="6"/>
        <v>97.5</v>
      </c>
      <c r="L78" s="1">
        <f t="shared" si="7"/>
        <v>20</v>
      </c>
      <c r="M78" s="1">
        <v>30</v>
      </c>
      <c r="N78" s="1">
        <f t="shared" ca="1" si="8"/>
        <v>22</v>
      </c>
    </row>
    <row r="79" spans="1:14" x14ac:dyDescent="0.3">
      <c r="A79" s="1">
        <v>77</v>
      </c>
      <c r="B79" s="1">
        <v>1</v>
      </c>
      <c r="C79" s="5">
        <f t="shared" si="9"/>
        <v>45936.791666666621</v>
      </c>
      <c r="D79" s="1">
        <v>22</v>
      </c>
      <c r="E79" s="1">
        <v>27</v>
      </c>
      <c r="F79" s="1">
        <f t="shared" si="5"/>
        <v>0</v>
      </c>
      <c r="G79" s="1">
        <f t="shared" si="6"/>
        <v>95</v>
      </c>
      <c r="L79" s="1">
        <f t="shared" si="7"/>
        <v>20</v>
      </c>
      <c r="M79" s="1">
        <v>30</v>
      </c>
      <c r="N79" s="1">
        <f t="shared" ca="1" si="8"/>
        <v>20</v>
      </c>
    </row>
    <row r="80" spans="1:14" x14ac:dyDescent="0.3">
      <c r="A80" s="1">
        <v>78</v>
      </c>
      <c r="B80" s="1">
        <v>2</v>
      </c>
      <c r="C80" s="5">
        <f t="shared" si="9"/>
        <v>45936.791666666621</v>
      </c>
      <c r="D80" s="1">
        <v>22</v>
      </c>
      <c r="E80" s="1">
        <v>27</v>
      </c>
      <c r="F80" s="1">
        <f t="shared" si="5"/>
        <v>0</v>
      </c>
      <c r="G80" s="1">
        <f t="shared" si="6"/>
        <v>95</v>
      </c>
      <c r="L80" s="1">
        <f t="shared" si="7"/>
        <v>19</v>
      </c>
      <c r="M80" s="1">
        <v>29</v>
      </c>
      <c r="N80" s="1">
        <f t="shared" ca="1" si="8"/>
        <v>19</v>
      </c>
    </row>
    <row r="81" spans="1:14" x14ac:dyDescent="0.3">
      <c r="A81" s="1">
        <v>79</v>
      </c>
      <c r="B81" s="1">
        <v>3</v>
      </c>
      <c r="C81" s="5">
        <f t="shared" si="9"/>
        <v>45936.791666666621</v>
      </c>
      <c r="D81" s="1">
        <v>23</v>
      </c>
      <c r="E81" s="1">
        <v>27</v>
      </c>
      <c r="F81" s="1">
        <f t="shared" si="5"/>
        <v>0</v>
      </c>
      <c r="G81" s="1">
        <f t="shared" si="6"/>
        <v>92.5</v>
      </c>
      <c r="L81" s="1">
        <f t="shared" si="7"/>
        <v>19</v>
      </c>
      <c r="M81" s="1">
        <v>29</v>
      </c>
      <c r="N81" s="1">
        <f t="shared" ca="1" si="8"/>
        <v>23</v>
      </c>
    </row>
    <row r="82" spans="1:14" x14ac:dyDescent="0.3">
      <c r="A82" s="1">
        <v>80</v>
      </c>
      <c r="B82" s="1">
        <v>4</v>
      </c>
      <c r="C82" s="5">
        <f t="shared" si="9"/>
        <v>45936.791666666621</v>
      </c>
      <c r="D82" s="1">
        <v>22</v>
      </c>
      <c r="E82" s="1">
        <v>27</v>
      </c>
      <c r="F82" s="1">
        <f t="shared" si="5"/>
        <v>0</v>
      </c>
      <c r="G82" s="1">
        <f t="shared" si="6"/>
        <v>95</v>
      </c>
      <c r="L82" s="1">
        <f t="shared" si="7"/>
        <v>18</v>
      </c>
      <c r="M82" s="1">
        <v>28</v>
      </c>
      <c r="N82" s="1">
        <f t="shared" ca="1" si="8"/>
        <v>20</v>
      </c>
    </row>
    <row r="83" spans="1:14" x14ac:dyDescent="0.3">
      <c r="A83" s="1">
        <v>81</v>
      </c>
      <c r="B83" s="1">
        <v>1</v>
      </c>
      <c r="C83" s="5">
        <f t="shared" si="9"/>
        <v>45936.833333333285</v>
      </c>
      <c r="D83" s="1">
        <v>24</v>
      </c>
      <c r="E83" s="1">
        <v>27</v>
      </c>
      <c r="F83" s="1">
        <f t="shared" si="5"/>
        <v>0</v>
      </c>
      <c r="G83" s="1">
        <f t="shared" si="6"/>
        <v>90</v>
      </c>
      <c r="L83" s="1">
        <f t="shared" si="7"/>
        <v>18</v>
      </c>
      <c r="M83" s="1">
        <v>28</v>
      </c>
      <c r="N83" s="1">
        <f t="shared" ca="1" si="8"/>
        <v>28</v>
      </c>
    </row>
    <row r="84" spans="1:14" x14ac:dyDescent="0.3">
      <c r="A84" s="1">
        <v>82</v>
      </c>
      <c r="B84" s="1">
        <v>2</v>
      </c>
      <c r="C84" s="5">
        <f t="shared" si="9"/>
        <v>45936.833333333285</v>
      </c>
      <c r="D84" s="1">
        <v>20</v>
      </c>
      <c r="E84" s="1">
        <v>27</v>
      </c>
      <c r="F84" s="1">
        <f t="shared" si="5"/>
        <v>0</v>
      </c>
      <c r="G84" s="1">
        <f t="shared" si="6"/>
        <v>100</v>
      </c>
      <c r="L84" s="1">
        <f t="shared" si="7"/>
        <v>18</v>
      </c>
      <c r="M84" s="1">
        <v>28</v>
      </c>
      <c r="N84" s="1">
        <f t="shared" ca="1" si="8"/>
        <v>26</v>
      </c>
    </row>
    <row r="85" spans="1:14" x14ac:dyDescent="0.3">
      <c r="A85" s="1">
        <v>83</v>
      </c>
      <c r="B85" s="1">
        <v>3</v>
      </c>
      <c r="C85" s="5">
        <f t="shared" si="9"/>
        <v>45936.833333333285</v>
      </c>
      <c r="D85" s="1">
        <v>22</v>
      </c>
      <c r="E85" s="1">
        <v>27</v>
      </c>
      <c r="F85" s="1">
        <f t="shared" si="5"/>
        <v>0</v>
      </c>
      <c r="G85" s="1">
        <f t="shared" si="6"/>
        <v>95</v>
      </c>
      <c r="L85" s="1">
        <f t="shared" si="7"/>
        <v>17</v>
      </c>
      <c r="M85" s="1">
        <v>27</v>
      </c>
      <c r="N85" s="1">
        <f t="shared" ca="1" si="8"/>
        <v>25</v>
      </c>
    </row>
    <row r="86" spans="1:14" x14ac:dyDescent="0.3">
      <c r="A86" s="1">
        <v>84</v>
      </c>
      <c r="B86" s="1">
        <v>4</v>
      </c>
      <c r="C86" s="5">
        <f t="shared" si="9"/>
        <v>45936.833333333285</v>
      </c>
      <c r="D86" s="1">
        <v>25</v>
      </c>
      <c r="E86" s="1">
        <v>27</v>
      </c>
      <c r="F86" s="1">
        <f t="shared" si="5"/>
        <v>0</v>
      </c>
      <c r="G86" s="1">
        <f t="shared" si="6"/>
        <v>87.5</v>
      </c>
      <c r="L86" s="1">
        <f t="shared" si="7"/>
        <v>17</v>
      </c>
      <c r="M86" s="1">
        <v>27</v>
      </c>
      <c r="N86" s="1">
        <f t="shared" ca="1" si="8"/>
        <v>18</v>
      </c>
    </row>
    <row r="87" spans="1:14" x14ac:dyDescent="0.3">
      <c r="A87" s="1">
        <v>85</v>
      </c>
      <c r="B87" s="1">
        <v>1</v>
      </c>
      <c r="C87" s="5">
        <f t="shared" si="9"/>
        <v>45936.874999999949</v>
      </c>
      <c r="D87" s="1">
        <v>22</v>
      </c>
      <c r="E87" s="1">
        <v>27</v>
      </c>
      <c r="F87" s="1">
        <f t="shared" si="5"/>
        <v>0</v>
      </c>
      <c r="G87" s="1">
        <f t="shared" si="6"/>
        <v>95</v>
      </c>
      <c r="L87" s="1">
        <f t="shared" si="7"/>
        <v>16</v>
      </c>
      <c r="M87" s="1">
        <v>26</v>
      </c>
      <c r="N87" s="1">
        <f t="shared" ca="1" si="8"/>
        <v>19</v>
      </c>
    </row>
    <row r="88" spans="1:14" x14ac:dyDescent="0.3">
      <c r="A88" s="1">
        <v>86</v>
      </c>
      <c r="B88" s="1">
        <v>2</v>
      </c>
      <c r="C88" s="5">
        <f t="shared" si="9"/>
        <v>45936.874999999949</v>
      </c>
      <c r="D88" s="1">
        <v>20</v>
      </c>
      <c r="E88" s="1">
        <v>27</v>
      </c>
      <c r="F88" s="1">
        <f t="shared" si="5"/>
        <v>0</v>
      </c>
      <c r="G88" s="1">
        <f t="shared" si="6"/>
        <v>100</v>
      </c>
      <c r="L88" s="1">
        <f t="shared" si="7"/>
        <v>16</v>
      </c>
      <c r="M88" s="1">
        <v>26</v>
      </c>
      <c r="N88" s="1">
        <f t="shared" ca="1" si="8"/>
        <v>26</v>
      </c>
    </row>
    <row r="89" spans="1:14" x14ac:dyDescent="0.3">
      <c r="A89" s="1">
        <v>87</v>
      </c>
      <c r="B89" s="1">
        <v>3</v>
      </c>
      <c r="C89" s="5">
        <f t="shared" si="9"/>
        <v>45936.874999999949</v>
      </c>
      <c r="D89" s="1">
        <v>24</v>
      </c>
      <c r="E89" s="1">
        <v>27</v>
      </c>
      <c r="F89" s="1">
        <f t="shared" si="5"/>
        <v>0</v>
      </c>
      <c r="G89" s="1">
        <f t="shared" si="6"/>
        <v>90</v>
      </c>
      <c r="L89" s="1">
        <f t="shared" si="7"/>
        <v>15</v>
      </c>
      <c r="M89" s="1">
        <v>25</v>
      </c>
      <c r="N89" s="1">
        <f t="shared" ca="1" si="8"/>
        <v>21</v>
      </c>
    </row>
    <row r="90" spans="1:14" x14ac:dyDescent="0.3">
      <c r="A90" s="1">
        <v>88</v>
      </c>
      <c r="B90" s="1">
        <v>4</v>
      </c>
      <c r="C90" s="5">
        <f t="shared" si="9"/>
        <v>45936.874999999949</v>
      </c>
      <c r="D90" s="1">
        <v>23</v>
      </c>
      <c r="E90" s="1">
        <v>27</v>
      </c>
      <c r="F90" s="1">
        <f t="shared" si="5"/>
        <v>0</v>
      </c>
      <c r="G90" s="1">
        <f t="shared" si="6"/>
        <v>92.5</v>
      </c>
      <c r="L90" s="1">
        <f t="shared" si="7"/>
        <v>15</v>
      </c>
      <c r="M90" s="1">
        <v>25</v>
      </c>
      <c r="N90" s="1">
        <f t="shared" ca="1" si="8"/>
        <v>15</v>
      </c>
    </row>
    <row r="91" spans="1:14" x14ac:dyDescent="0.3">
      <c r="A91" s="1">
        <v>89</v>
      </c>
      <c r="B91" s="1">
        <v>1</v>
      </c>
      <c r="C91" s="5">
        <f t="shared" si="9"/>
        <v>45936.916666666613</v>
      </c>
      <c r="D91" s="1">
        <v>18</v>
      </c>
      <c r="E91" s="1">
        <v>27</v>
      </c>
      <c r="F91" s="1">
        <f t="shared" si="5"/>
        <v>0</v>
      </c>
      <c r="G91" s="1">
        <f t="shared" si="6"/>
        <v>100</v>
      </c>
      <c r="L91" s="1">
        <f t="shared" si="7"/>
        <v>14</v>
      </c>
      <c r="M91" s="1">
        <v>24</v>
      </c>
      <c r="N91" s="1">
        <f t="shared" ca="1" si="8"/>
        <v>19</v>
      </c>
    </row>
    <row r="92" spans="1:14" x14ac:dyDescent="0.3">
      <c r="A92" s="1">
        <v>90</v>
      </c>
      <c r="B92" s="1">
        <v>2</v>
      </c>
      <c r="C92" s="5">
        <f t="shared" si="9"/>
        <v>45936.916666666613</v>
      </c>
      <c r="D92" s="1">
        <v>22</v>
      </c>
      <c r="E92" s="1">
        <v>27</v>
      </c>
      <c r="F92" s="1">
        <f t="shared" si="5"/>
        <v>0</v>
      </c>
      <c r="G92" s="1">
        <f t="shared" si="6"/>
        <v>95</v>
      </c>
      <c r="L92" s="1">
        <f t="shared" si="7"/>
        <v>13</v>
      </c>
      <c r="M92" s="1">
        <v>23</v>
      </c>
      <c r="N92" s="1">
        <f t="shared" ca="1" si="8"/>
        <v>16</v>
      </c>
    </row>
    <row r="93" spans="1:14" x14ac:dyDescent="0.3">
      <c r="A93" s="1">
        <v>91</v>
      </c>
      <c r="B93" s="1">
        <v>3</v>
      </c>
      <c r="C93" s="5">
        <f t="shared" si="9"/>
        <v>45936.916666666613</v>
      </c>
      <c r="D93" s="1">
        <v>16</v>
      </c>
      <c r="E93" s="1">
        <v>27</v>
      </c>
      <c r="F93" s="1">
        <f t="shared" si="5"/>
        <v>0</v>
      </c>
      <c r="G93" s="1">
        <f t="shared" si="6"/>
        <v>100</v>
      </c>
      <c r="L93" s="1">
        <f t="shared" si="7"/>
        <v>12</v>
      </c>
      <c r="M93" s="1">
        <v>22</v>
      </c>
      <c r="N93" s="1">
        <f t="shared" ca="1" si="8"/>
        <v>20</v>
      </c>
    </row>
    <row r="94" spans="1:14" x14ac:dyDescent="0.3">
      <c r="A94" s="1">
        <v>92</v>
      </c>
      <c r="B94" s="1">
        <v>4</v>
      </c>
      <c r="C94" s="5">
        <f t="shared" si="9"/>
        <v>45936.916666666613</v>
      </c>
      <c r="D94" s="1">
        <v>17</v>
      </c>
      <c r="E94" s="1">
        <v>27</v>
      </c>
      <c r="F94" s="1">
        <f t="shared" si="5"/>
        <v>0</v>
      </c>
      <c r="G94" s="1">
        <f t="shared" si="6"/>
        <v>100</v>
      </c>
      <c r="L94" s="1">
        <f t="shared" si="7"/>
        <v>12</v>
      </c>
      <c r="M94" s="1">
        <v>22</v>
      </c>
      <c r="N94" s="1">
        <f t="shared" ca="1" si="8"/>
        <v>13</v>
      </c>
    </row>
    <row r="95" spans="1:14" x14ac:dyDescent="0.3">
      <c r="A95" s="1">
        <v>93</v>
      </c>
      <c r="B95" s="1">
        <v>1</v>
      </c>
      <c r="C95" s="5">
        <f t="shared" si="9"/>
        <v>45936.958333333278</v>
      </c>
      <c r="D95" s="1">
        <v>16</v>
      </c>
      <c r="E95" s="1">
        <v>27</v>
      </c>
      <c r="F95" s="1">
        <f t="shared" si="5"/>
        <v>0</v>
      </c>
      <c r="G95" s="1">
        <f t="shared" si="6"/>
        <v>100</v>
      </c>
      <c r="L95" s="1">
        <f t="shared" si="7"/>
        <v>11</v>
      </c>
      <c r="M95" s="1">
        <v>21</v>
      </c>
      <c r="N95" s="1">
        <f t="shared" ca="1" si="8"/>
        <v>18</v>
      </c>
    </row>
    <row r="96" spans="1:14" x14ac:dyDescent="0.3">
      <c r="A96" s="1">
        <v>94</v>
      </c>
      <c r="B96" s="1">
        <v>2</v>
      </c>
      <c r="C96" s="5">
        <f t="shared" si="9"/>
        <v>45936.958333333278</v>
      </c>
      <c r="D96" s="1">
        <v>10</v>
      </c>
      <c r="E96" s="1">
        <v>27</v>
      </c>
      <c r="F96" s="1">
        <f t="shared" si="5"/>
        <v>0</v>
      </c>
      <c r="G96" s="1">
        <f t="shared" si="6"/>
        <v>100</v>
      </c>
      <c r="L96" s="1">
        <f t="shared" si="7"/>
        <v>10</v>
      </c>
      <c r="M96" s="1">
        <v>20</v>
      </c>
      <c r="N96" s="1">
        <f t="shared" ca="1" si="8"/>
        <v>19</v>
      </c>
    </row>
    <row r="97" spans="1:14" x14ac:dyDescent="0.3">
      <c r="A97" s="1">
        <v>95</v>
      </c>
      <c r="B97" s="1">
        <v>3</v>
      </c>
      <c r="C97" s="5">
        <f t="shared" si="9"/>
        <v>45936.958333333278</v>
      </c>
      <c r="D97" s="1">
        <v>13</v>
      </c>
      <c r="E97" s="1">
        <v>27</v>
      </c>
      <c r="F97" s="1">
        <f t="shared" si="5"/>
        <v>0</v>
      </c>
      <c r="G97" s="1">
        <f t="shared" si="6"/>
        <v>100</v>
      </c>
      <c r="L97" s="1">
        <f t="shared" si="7"/>
        <v>9</v>
      </c>
      <c r="M97" s="1">
        <v>19</v>
      </c>
      <c r="N97" s="1">
        <f t="shared" ca="1" si="8"/>
        <v>17</v>
      </c>
    </row>
    <row r="98" spans="1:14" x14ac:dyDescent="0.3">
      <c r="A98" s="1">
        <v>96</v>
      </c>
      <c r="B98" s="1">
        <v>4</v>
      </c>
      <c r="C98" s="5">
        <f t="shared" si="9"/>
        <v>45936.958333333278</v>
      </c>
      <c r="D98" s="1">
        <v>17</v>
      </c>
      <c r="E98" s="1">
        <v>27</v>
      </c>
      <c r="F98" s="1">
        <f t="shared" si="5"/>
        <v>0</v>
      </c>
      <c r="G98" s="1">
        <f t="shared" si="6"/>
        <v>100</v>
      </c>
      <c r="L98" s="1">
        <f t="shared" si="7"/>
        <v>8</v>
      </c>
      <c r="M98" s="1">
        <v>18</v>
      </c>
      <c r="N98" s="1">
        <f t="shared" ca="1" si="8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Gráficos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ANDREIA MIYUKI KUBOTA .</cp:lastModifiedBy>
  <cp:revision/>
  <dcterms:created xsi:type="dcterms:W3CDTF">2025-10-06T22:50:48Z</dcterms:created>
  <dcterms:modified xsi:type="dcterms:W3CDTF">2025-10-10T00:16:03Z</dcterms:modified>
  <cp:category/>
  <cp:contentStatus/>
</cp:coreProperties>
</file>