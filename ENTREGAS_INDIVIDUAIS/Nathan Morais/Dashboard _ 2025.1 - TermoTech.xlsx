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Nova pasta\"/>
    </mc:Choice>
  </mc:AlternateContent>
  <xr:revisionPtr revIDLastSave="0" documentId="13_ncr:1_{A8392CC1-FFE6-429E-9A95-3A18C0590871}" xr6:coauthVersionLast="47" xr6:coauthVersionMax="47" xr10:uidLastSave="{00000000-0000-0000-0000-000000000000}"/>
  <bookViews>
    <workbookView xWindow="-108" yWindow="-108" windowWidth="23256" windowHeight="12456" activeTab="2" xr2:uid="{9504D507-3B1B-4BA3-8A27-5C4284C0FF3F}"/>
  </bookViews>
  <sheets>
    <sheet name="Instruções" sheetId="1" r:id="rId1"/>
    <sheet name="Dados" sheetId="2" r:id="rId2"/>
    <sheet name="Exemplo - como inserir grafico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4" l="1"/>
  <c r="D43" i="4"/>
  <c r="C43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AH28" i="4"/>
  <c r="K28" i="4"/>
  <c r="M5" i="4"/>
  <c r="N5" i="4"/>
  <c r="O5" i="4"/>
  <c r="P5" i="4"/>
  <c r="Q5" i="4"/>
  <c r="R5" i="4"/>
  <c r="S5" i="4"/>
  <c r="T5" i="4"/>
  <c r="U5" i="4"/>
  <c r="V5" i="4"/>
  <c r="W5" i="4"/>
  <c r="L5" i="4"/>
</calcChain>
</file>

<file path=xl/sharedStrings.xml><?xml version="1.0" encoding="utf-8"?>
<sst xmlns="http://schemas.openxmlformats.org/spreadsheetml/2006/main" count="74" uniqueCount="53">
  <si>
    <t>São Paulo Tech School</t>
  </si>
  <si>
    <t>Pesquisa e Inovação</t>
  </si>
  <si>
    <t>Aula "Dashboards"</t>
  </si>
  <si>
    <t>Exercício 01</t>
  </si>
  <si>
    <t>ID</t>
  </si>
  <si>
    <t>Valor</t>
  </si>
  <si>
    <t>Unidade de Medida</t>
  </si>
  <si>
    <t>°C</t>
  </si>
  <si>
    <t>Sensor A</t>
  </si>
  <si>
    <t>Sensor B</t>
  </si>
  <si>
    <t>Dados</t>
  </si>
  <si>
    <t>Objetivo: Criar no mínimo 2 Dashboards que ajudem o usuário a entender como está a situação do seu negócio (projeto de PI).
1. Todos os sensores
2. Um sensor específico</t>
  </si>
  <si>
    <t>Observação: as abas 'Dados' e 'Exemplo - como inserir grafico' servem como exemplo de inserção de gráfico a partir de uma amostra de dados.</t>
  </si>
  <si>
    <t>Dia da semana</t>
  </si>
  <si>
    <t>Segunda</t>
  </si>
  <si>
    <t>Terça</t>
  </si>
  <si>
    <t>Quarta</t>
  </si>
  <si>
    <t>Quinta</t>
  </si>
  <si>
    <t>Sexta</t>
  </si>
  <si>
    <t>Sábado</t>
  </si>
  <si>
    <t>Domingo</t>
  </si>
  <si>
    <t>Temp. Mínima</t>
  </si>
  <si>
    <t>Temp. Máxima</t>
  </si>
  <si>
    <t>Mediana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</si>
  <si>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</si>
  <si>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</si>
  <si>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</si>
  <si>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</si>
  <si>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</si>
  <si>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</si>
  <si>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</si>
  <si>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</si>
  <si>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</si>
  <si>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</si>
  <si>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</si>
  <si>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</si>
  <si>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Sensor 1</t>
  </si>
  <si>
    <t>Sensor 2</t>
  </si>
  <si>
    <t>Sensor 3</t>
  </si>
  <si>
    <t>Sensor 4</t>
  </si>
  <si>
    <t>Sensor 5</t>
  </si>
  <si>
    <t>Sensor 6</t>
  </si>
  <si>
    <t>Sensor 7</t>
  </si>
  <si>
    <t>Sensor 8</t>
  </si>
  <si>
    <t>Sensor 9</t>
  </si>
  <si>
    <t>Sensor 10</t>
  </si>
  <si>
    <t>Sensores</t>
  </si>
  <si>
    <t>Quantidade Alerta</t>
  </si>
  <si>
    <t>Temperatura</t>
  </si>
  <si>
    <t>Produtividade</t>
  </si>
  <si>
    <t>Alerta acima de 27° Diário</t>
  </si>
  <si>
    <t>Produtividade Diaria</t>
  </si>
  <si>
    <t>Sensor com maior temperatura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</si>
</sst>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rgb="FFE4005A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right"/>
    </xf>
    <xf numFmtId="22" fontId="0" fillId="2" borderId="1" xfId="0" applyNumberFormat="1" applyFill="1" applyBorder="1"/>
    <xf numFmtId="0" fontId="0" fillId="4" borderId="1" xfId="0" applyFill="1" applyBorder="1"/>
    <xf numFmtId="22" fontId="0" fillId="4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00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aseline="0"/>
              <a:t>Temperatura Semanal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9312993251632894E-2"/>
          <c:y val="0.14689693682195279"/>
          <c:w val="0.9280182829666852"/>
          <c:h val="0.65218880368340826"/>
        </c:manualLayout>
      </c:layout>
      <c:lineChart>
        <c:grouping val="standard"/>
        <c:varyColors val="0"/>
        <c:ser>
          <c:idx val="0"/>
          <c:order val="0"/>
          <c:tx>
            <c:strRef>
              <c:f>'Exemplo - como inserir grafico'!$B$3</c:f>
              <c:strCache>
                <c:ptCount val="1"/>
                <c:pt idx="0">
                  <c:v>Sensor 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'Exemplo - como inserir grafico'!$C$2:$I$2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'Exemplo - como inserir grafico'!$C$3:$I$3</c:f>
              <c:numCache>
                <c:formatCode>General</c:formatCode>
                <c:ptCount val="7"/>
                <c:pt idx="0">
                  <c:v>10</c:v>
                </c:pt>
                <c:pt idx="1">
                  <c:v>11</c:v>
                </c:pt>
                <c:pt idx="2">
                  <c:v>11</c:v>
                </c:pt>
                <c:pt idx="3">
                  <c:v>11.5</c:v>
                </c:pt>
                <c:pt idx="4">
                  <c:v>12</c:v>
                </c:pt>
                <c:pt idx="5">
                  <c:v>12</c:v>
                </c:pt>
                <c:pt idx="6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1A-4492-BD76-C1C478341405}"/>
            </c:ext>
          </c:extLst>
        </c:ser>
        <c:ser>
          <c:idx val="1"/>
          <c:order val="1"/>
          <c:tx>
            <c:strRef>
              <c:f>'Exemplo - como inserir grafico'!$B$4</c:f>
              <c:strCache>
                <c:ptCount val="1"/>
                <c:pt idx="0">
                  <c:v>Sensor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'Exemplo - como inserir grafico'!$C$2:$I$2</c:f>
              <c:strCache>
                <c:ptCount val="7"/>
                <c:pt idx="0">
                  <c:v>Segunda</c:v>
                </c:pt>
                <c:pt idx="1">
                  <c:v>Terça</c:v>
                </c:pt>
                <c:pt idx="2">
                  <c:v>Quarta</c:v>
                </c:pt>
                <c:pt idx="3">
                  <c:v>Quinta</c:v>
                </c:pt>
                <c:pt idx="4">
                  <c:v>Sexta</c:v>
                </c:pt>
                <c:pt idx="5">
                  <c:v>Sábado</c:v>
                </c:pt>
                <c:pt idx="6">
                  <c:v>Domingo</c:v>
                </c:pt>
              </c:strCache>
            </c:strRef>
          </c:cat>
          <c:val>
            <c:numRef>
              <c:f>'Exemplo - como inserir grafico'!$C$4:$I$4</c:f>
              <c:numCache>
                <c:formatCode>General</c:formatCode>
                <c:ptCount val="7"/>
                <c:pt idx="0">
                  <c:v>30</c:v>
                </c:pt>
                <c:pt idx="1">
                  <c:v>32</c:v>
                </c:pt>
                <c:pt idx="2">
                  <c:v>31</c:v>
                </c:pt>
                <c:pt idx="3">
                  <c:v>31</c:v>
                </c:pt>
                <c:pt idx="4">
                  <c:v>32</c:v>
                </c:pt>
                <c:pt idx="5">
                  <c:v>30</c:v>
                </c:pt>
                <c:pt idx="6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1A-4492-BD76-C1C478341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477119"/>
        <c:axId val="998477599"/>
      </c:lineChart>
      <c:catAx>
        <c:axId val="998477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8477599"/>
        <c:crosses val="autoZero"/>
        <c:auto val="1"/>
        <c:lblAlgn val="ctr"/>
        <c:lblOffset val="100"/>
        <c:noMultiLvlLbl val="1"/>
      </c:catAx>
      <c:valAx>
        <c:axId val="99847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C\°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847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Temperatura</a:t>
            </a:r>
            <a:r>
              <a:rPr lang="pt-BR" baseline="0"/>
              <a:t> Mensal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'Exemplo - como inserir grafico'!$K$3</c:f>
              <c:strCache>
                <c:ptCount val="1"/>
                <c:pt idx="0">
                  <c:v>Temp. Mínima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'Exemplo - como inserir grafico'!$L$2:$W$2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- como inserir grafico'!$L$3:$W$3</c:f>
              <c:numCache>
                <c:formatCode>General</c:formatCode>
                <c:ptCount val="12"/>
                <c:pt idx="0">
                  <c:v>19</c:v>
                </c:pt>
                <c:pt idx="1">
                  <c:v>15</c:v>
                </c:pt>
                <c:pt idx="2">
                  <c:v>11</c:v>
                </c:pt>
                <c:pt idx="3">
                  <c:v>10</c:v>
                </c:pt>
                <c:pt idx="4">
                  <c:v>10</c:v>
                </c:pt>
                <c:pt idx="5">
                  <c:v>13</c:v>
                </c:pt>
                <c:pt idx="6">
                  <c:v>14</c:v>
                </c:pt>
                <c:pt idx="7">
                  <c:v>12</c:v>
                </c:pt>
                <c:pt idx="8">
                  <c:v>11</c:v>
                </c:pt>
                <c:pt idx="9">
                  <c:v>15</c:v>
                </c:pt>
                <c:pt idx="10">
                  <c:v>16</c:v>
                </c:pt>
                <c:pt idx="11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A1-409F-B3E2-381875540720}"/>
            </c:ext>
          </c:extLst>
        </c:ser>
        <c:ser>
          <c:idx val="1"/>
          <c:order val="1"/>
          <c:tx>
            <c:strRef>
              <c:f>'Exemplo - como inserir grafico'!$K$4</c:f>
              <c:strCache>
                <c:ptCount val="1"/>
                <c:pt idx="0">
                  <c:v>Temp. Máxima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'Exemplo - como inserir grafico'!$L$2:$W$2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- como inserir grafico'!$L$4:$W$4</c:f>
              <c:numCache>
                <c:formatCode>General</c:formatCode>
                <c:ptCount val="12"/>
                <c:pt idx="0">
                  <c:v>37</c:v>
                </c:pt>
                <c:pt idx="1">
                  <c:v>35</c:v>
                </c:pt>
                <c:pt idx="2">
                  <c:v>32</c:v>
                </c:pt>
                <c:pt idx="3">
                  <c:v>31</c:v>
                </c:pt>
                <c:pt idx="4">
                  <c:v>29</c:v>
                </c:pt>
                <c:pt idx="5">
                  <c:v>28</c:v>
                </c:pt>
                <c:pt idx="6">
                  <c:v>30</c:v>
                </c:pt>
                <c:pt idx="7">
                  <c:v>27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A1-409F-B3E2-381875540720}"/>
            </c:ext>
          </c:extLst>
        </c:ser>
        <c:ser>
          <c:idx val="2"/>
          <c:order val="2"/>
          <c:tx>
            <c:strRef>
              <c:f>'Exemplo - como inserir grafico'!$K$5</c:f>
              <c:strCache>
                <c:ptCount val="1"/>
                <c:pt idx="0">
                  <c:v>Mediana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'Exemplo - como inserir grafico'!$L$2:$W$2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'Exemplo - como inserir grafico'!$L$5:$W$5</c:f>
              <c:numCache>
                <c:formatCode>General</c:formatCode>
                <c:ptCount val="12"/>
                <c:pt idx="0">
                  <c:v>28</c:v>
                </c:pt>
                <c:pt idx="1">
                  <c:v>25</c:v>
                </c:pt>
                <c:pt idx="2">
                  <c:v>21.5</c:v>
                </c:pt>
                <c:pt idx="3">
                  <c:v>20.5</c:v>
                </c:pt>
                <c:pt idx="4">
                  <c:v>19.5</c:v>
                </c:pt>
                <c:pt idx="5">
                  <c:v>20.5</c:v>
                </c:pt>
                <c:pt idx="6">
                  <c:v>22</c:v>
                </c:pt>
                <c:pt idx="7">
                  <c:v>19.5</c:v>
                </c:pt>
                <c:pt idx="8">
                  <c:v>19</c:v>
                </c:pt>
                <c:pt idx="9">
                  <c:v>21.5</c:v>
                </c:pt>
                <c:pt idx="10">
                  <c:v>22.5</c:v>
                </c:pt>
                <c:pt idx="11">
                  <c:v>25.5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A1-409F-B3E2-381875540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2489744"/>
        <c:axId val="1262494544"/>
      </c:lineChart>
      <c:catAx>
        <c:axId val="12624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494544"/>
        <c:crosses val="autoZero"/>
        <c:auto val="1"/>
        <c:lblAlgn val="ctr"/>
        <c:lblOffset val="100"/>
        <c:noMultiLvlLbl val="0"/>
      </c:catAx>
      <c:valAx>
        <c:axId val="126249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C\°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48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'Exemplo - como inserir grafico'!$C$26</c:f>
              <c:strCache>
                <c:ptCount val="1"/>
                <c:pt idx="0">
                  <c:v>Quantidade Alerta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'Exemplo - como inserir grafico'!$B$27:$B$36</c:f>
              <c:strCache>
                <c:ptCount val="10"/>
                <c:pt idx="0">
                  <c:v>Sensor 1</c:v>
                </c:pt>
                <c:pt idx="1">
                  <c:v>Sensor 2</c:v>
                </c:pt>
                <c:pt idx="2">
                  <c:v>Sensor 3</c:v>
                </c:pt>
                <c:pt idx="3">
                  <c:v>Sensor 4</c:v>
                </c:pt>
                <c:pt idx="4">
                  <c:v>Sensor 5</c:v>
                </c:pt>
                <c:pt idx="5">
                  <c:v>Sensor 6</c:v>
                </c:pt>
                <c:pt idx="6">
                  <c:v>Sensor 7</c:v>
                </c:pt>
                <c:pt idx="7">
                  <c:v>Sensor 8</c:v>
                </c:pt>
                <c:pt idx="8">
                  <c:v>Sensor 9</c:v>
                </c:pt>
                <c:pt idx="9">
                  <c:v>Sensor 10</c:v>
                </c:pt>
              </c:strCache>
            </c:strRef>
          </c:cat>
          <c:val>
            <c:numRef>
              <c:f>'Exemplo - como inserir grafico'!$C$27:$C$36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7</c:v>
                </c:pt>
                <c:pt idx="3">
                  <c:v>10</c:v>
                </c:pt>
                <c:pt idx="4">
                  <c:v>5</c:v>
                </c:pt>
                <c:pt idx="5">
                  <c:v>4</c:v>
                </c:pt>
                <c:pt idx="6">
                  <c:v>0</c:v>
                </c:pt>
                <c:pt idx="7">
                  <c:v>2</c:v>
                </c:pt>
                <c:pt idx="8">
                  <c:v>1</c:v>
                </c:pt>
                <c:pt idx="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13-4ED9-A30B-F02E48186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80160656"/>
        <c:axId val="1080154896"/>
      </c:barChart>
      <c:catAx>
        <c:axId val="10801606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154896"/>
        <c:crosses val="autoZero"/>
        <c:auto val="1"/>
        <c:lblAlgn val="ctr"/>
        <c:lblOffset val="100"/>
        <c:noMultiLvlLbl val="0"/>
      </c:catAx>
      <c:valAx>
        <c:axId val="108015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0160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Produtividade</a:t>
            </a:r>
            <a:r>
              <a:rPr lang="pt-BR" baseline="0"/>
              <a:t> na mina por horário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'Exemplo - como inserir grafico'!$J$27</c:f>
              <c:strCache>
                <c:ptCount val="1"/>
                <c:pt idx="0">
                  <c:v>Temperatura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'Exemplo - como inserir grafico'!$K$26:$AB$26</c:f>
              <c:numCache>
                <c:formatCode>h:mm</c:formatCode>
                <c:ptCount val="18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0.33333333333333298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0.45833333333333298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0.58333333333333304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0.70833333333333304</c:v>
                </c:pt>
                <c:pt idx="17">
                  <c:v>0.75</c:v>
                </c:pt>
              </c:numCache>
            </c:numRef>
          </c:xVal>
          <c:yVal>
            <c:numRef>
              <c:f>'Exemplo - como inserir grafico'!$K$27:$AB$27</c:f>
              <c:numCache>
                <c:formatCode>General</c:formatCode>
                <c:ptCount val="18"/>
                <c:pt idx="0">
                  <c:v>24</c:v>
                </c:pt>
                <c:pt idx="1">
                  <c:v>27</c:v>
                </c:pt>
                <c:pt idx="2">
                  <c:v>30</c:v>
                </c:pt>
                <c:pt idx="3">
                  <c:v>28</c:v>
                </c:pt>
                <c:pt idx="4">
                  <c:v>24</c:v>
                </c:pt>
                <c:pt idx="5">
                  <c:v>23</c:v>
                </c:pt>
                <c:pt idx="6">
                  <c:v>22</c:v>
                </c:pt>
                <c:pt idx="7">
                  <c:v>25</c:v>
                </c:pt>
                <c:pt idx="8">
                  <c:v>28</c:v>
                </c:pt>
                <c:pt idx="9">
                  <c:v>31</c:v>
                </c:pt>
                <c:pt idx="10">
                  <c:v>32</c:v>
                </c:pt>
                <c:pt idx="11">
                  <c:v>33</c:v>
                </c:pt>
                <c:pt idx="12">
                  <c:v>35</c:v>
                </c:pt>
                <c:pt idx="13">
                  <c:v>36</c:v>
                </c:pt>
                <c:pt idx="14">
                  <c:v>35</c:v>
                </c:pt>
                <c:pt idx="15">
                  <c:v>34</c:v>
                </c:pt>
                <c:pt idx="16">
                  <c:v>31</c:v>
                </c:pt>
                <c:pt idx="17">
                  <c:v>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E4-4500-BD12-68A694E7AFAB}"/>
            </c:ext>
          </c:extLst>
        </c:ser>
        <c:ser>
          <c:idx val="1"/>
          <c:order val="1"/>
          <c:tx>
            <c:strRef>
              <c:f>'Exemplo - como inserir grafico'!$J$28</c:f>
              <c:strCache>
                <c:ptCount val="1"/>
                <c:pt idx="0">
                  <c:v>Produtividade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'Exemplo - como inserir grafico'!$K$26:$AB$26</c:f>
              <c:numCache>
                <c:formatCode>h:mm</c:formatCode>
                <c:ptCount val="18"/>
                <c:pt idx="0">
                  <c:v>4.1666666666666664E-2</c:v>
                </c:pt>
                <c:pt idx="1">
                  <c:v>8.3333333333333301E-2</c:v>
                </c:pt>
                <c:pt idx="2">
                  <c:v>0.125</c:v>
                </c:pt>
                <c:pt idx="3">
                  <c:v>0.16666666666666699</c:v>
                </c:pt>
                <c:pt idx="4">
                  <c:v>0.20833333333333301</c:v>
                </c:pt>
                <c:pt idx="5">
                  <c:v>0.25</c:v>
                </c:pt>
                <c:pt idx="6">
                  <c:v>0.29166666666666702</c:v>
                </c:pt>
                <c:pt idx="7">
                  <c:v>0.33333333333333298</c:v>
                </c:pt>
                <c:pt idx="8">
                  <c:v>0.375</c:v>
                </c:pt>
                <c:pt idx="9">
                  <c:v>0.41666666666666702</c:v>
                </c:pt>
                <c:pt idx="10">
                  <c:v>0.45833333333333298</c:v>
                </c:pt>
                <c:pt idx="11">
                  <c:v>0.5</c:v>
                </c:pt>
                <c:pt idx="12">
                  <c:v>0.54166666666666696</c:v>
                </c:pt>
                <c:pt idx="13">
                  <c:v>0.58333333333333304</c:v>
                </c:pt>
                <c:pt idx="14">
                  <c:v>0.625</c:v>
                </c:pt>
                <c:pt idx="15">
                  <c:v>0.66666666666666696</c:v>
                </c:pt>
                <c:pt idx="16">
                  <c:v>0.70833333333333304</c:v>
                </c:pt>
                <c:pt idx="17">
                  <c:v>0.75</c:v>
                </c:pt>
              </c:numCache>
            </c:numRef>
          </c:xVal>
          <c:yVal>
            <c:numRef>
              <c:f>'Exemplo - como inserir grafico'!$K$28:$AB$28</c:f>
              <c:numCache>
                <c:formatCode>General</c:formatCode>
                <c:ptCount val="18"/>
                <c:pt idx="0">
                  <c:v>100</c:v>
                </c:pt>
                <c:pt idx="1">
                  <c:v>95</c:v>
                </c:pt>
                <c:pt idx="2">
                  <c:v>87.5</c:v>
                </c:pt>
                <c:pt idx="3">
                  <c:v>92.5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92.5</c:v>
                </c:pt>
                <c:pt idx="9">
                  <c:v>85</c:v>
                </c:pt>
                <c:pt idx="10">
                  <c:v>82.5</c:v>
                </c:pt>
                <c:pt idx="11">
                  <c:v>80</c:v>
                </c:pt>
                <c:pt idx="12">
                  <c:v>75</c:v>
                </c:pt>
                <c:pt idx="13">
                  <c:v>72.5</c:v>
                </c:pt>
                <c:pt idx="14">
                  <c:v>75</c:v>
                </c:pt>
                <c:pt idx="15">
                  <c:v>77.5</c:v>
                </c:pt>
                <c:pt idx="16">
                  <c:v>85</c:v>
                </c:pt>
                <c:pt idx="17">
                  <c:v>92.5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E4-4500-BD12-68A694E7A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2481584"/>
        <c:axId val="1262485424"/>
      </c:scatterChart>
      <c:valAx>
        <c:axId val="126248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485424"/>
        <c:crosses val="autoZero"/>
        <c:crossBetween val="midCat"/>
      </c:valAx>
      <c:valAx>
        <c:axId val="12624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248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5090160</xdr:colOff>
      <xdr:row>1</xdr:row>
      <xdr:rowOff>91440</xdr:rowOff>
    </xdr:from>
    <xdr:to>
      <xdr:col>1</xdr:col>
      <xdr:colOff>6681774</xdr:colOff>
      <xdr:row>4</xdr:row>
      <xdr:rowOff>121920</xdr:rowOff>
    </xdr:to>
    <xdr:pic>
      <xdr:nvPicPr>
        <xdr:cNvPr id="3" name="Imagem 2" descr="SPTECH | Home">
          <a:extLst>
            <a:ext uri="{FF2B5EF4-FFF2-40B4-BE49-F238E27FC236}">
              <a16:creationId xmlns:a16="http://schemas.microsoft.com/office/drawing/2014/main" id="{FCE62C6E-5DB1-4064-92DB-1F73D201A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8920" y="274320"/>
          <a:ext cx="1591614" cy="8305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590549</xdr:colOff>
      <xdr:row>5</xdr:row>
      <xdr:rowOff>176213</xdr:rowOff>
    </xdr:from>
    <xdr:to>
      <xdr:col>7</xdr:col>
      <xdr:colOff>476250</xdr:colOff>
      <xdr:row>22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693DA3-AB1C-03ED-2668-BE875B685D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771525</xdr:colOff>
      <xdr:row>7</xdr:row>
      <xdr:rowOff>166688</xdr:rowOff>
    </xdr:from>
    <xdr:to>
      <xdr:col>16</xdr:col>
      <xdr:colOff>114300</xdr:colOff>
      <xdr:row>23</xdr:row>
      <xdr:rowOff>14288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07062E1-3D4E-5467-AEC7-DB2B26569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609600</xdr:colOff>
      <xdr:row>24</xdr:row>
      <xdr:rowOff>4763</xdr:rowOff>
    </xdr:from>
    <xdr:to>
      <xdr:col>7</xdr:col>
      <xdr:colOff>647700</xdr:colOff>
      <xdr:row>39</xdr:row>
      <xdr:rowOff>33338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1E21576-2062-37AB-7E2D-D4D881FCA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66674</xdr:colOff>
      <xdr:row>29</xdr:row>
      <xdr:rowOff>138113</xdr:rowOff>
    </xdr:from>
    <xdr:to>
      <xdr:col>23</xdr:col>
      <xdr:colOff>142875</xdr:colOff>
      <xdr:row>44</xdr:row>
      <xdr:rowOff>166688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67F19D06-6601-72FE-AB87-77F55397E5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E07DF-AB7B-45FF-83C6-147A6E27C291}">
  <dimension ref="B2:B8"/>
  <sheetViews>
    <sheetView showGridLines="0" topLeftCell="A5" workbookViewId="0">
      <selection activeCell="B10" sqref="B10"/>
    </sheetView>
  </sheetViews>
  <sheetFormatPr defaultRowHeight="14.4" x14ac:dyDescent="0.3"/>
  <cols>
    <col min="1" max="1" width="7.6640625" customWidth="1"/>
    <col min="2" max="2" width="100.33203125" style="2" bestFit="1" customWidth="1"/>
    <col min="3" max="3" width="15.33203125" bestFit="1" customWidth="1"/>
    <col min="5" max="5" width="16.33203125" bestFit="1" customWidth="1"/>
  </cols>
  <sheetData>
    <row r="2" spans="2:2" ht="21" x14ac:dyDescent="0.4">
      <c r="B2" s="4" t="s">
        <v>0</v>
      </c>
    </row>
    <row r="3" spans="2:2" ht="21" x14ac:dyDescent="0.4">
      <c r="B3" s="4" t="s">
        <v>1</v>
      </c>
    </row>
    <row r="4" spans="2:2" ht="21" x14ac:dyDescent="0.4">
      <c r="B4" s="4" t="s">
        <v>2</v>
      </c>
    </row>
    <row r="5" spans="2:2" ht="21" x14ac:dyDescent="0.4">
      <c r="B5" s="4" t="s">
        <v>3</v>
      </c>
    </row>
    <row r="7" spans="2:2" ht="105" x14ac:dyDescent="0.4">
      <c r="B7" s="3" t="s">
        <v>11</v>
      </c>
    </row>
    <row r="8" spans="2:2" ht="42" x14ac:dyDescent="0.4">
      <c r="B8" s="3" t="s">
        <v>12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1B15-5BDC-4018-808C-1B3B68569F9B}">
  <dimension ref="B2:E12"/>
  <sheetViews>
    <sheetView workbookViewId="0">
      <selection activeCell="F28" sqref="F28"/>
    </sheetView>
  </sheetViews>
  <sheetFormatPr defaultRowHeight="14.4" x14ac:dyDescent="0.3"/>
  <cols>
    <col min="1" max="1" width="3.5546875" customWidth="1"/>
    <col min="3" max="3" width="16.5546875" bestFit="1" customWidth="1"/>
    <col min="5" max="5" width="16.33203125" bestFit="1" customWidth="1"/>
  </cols>
  <sheetData>
    <row r="2" spans="2:5" x14ac:dyDescent="0.3">
      <c r="B2" t="s">
        <v>4</v>
      </c>
      <c r="C2" t="s">
        <v>13</v>
      </c>
      <c r="D2" t="s">
        <v>5</v>
      </c>
      <c r="E2" t="s">
        <v>6</v>
      </c>
    </row>
    <row r="3" spans="2:5" x14ac:dyDescent="0.3">
      <c r="B3">
        <v>1</v>
      </c>
      <c r="C3" s="1" t="s">
        <v>14</v>
      </c>
      <c r="D3">
        <v>10</v>
      </c>
      <c r="E3" t="s">
        <v>7</v>
      </c>
    </row>
    <row r="4" spans="2:5" x14ac:dyDescent="0.3">
      <c r="B4">
        <v>2</v>
      </c>
      <c r="C4" s="1" t="s">
        <v>15</v>
      </c>
      <c r="D4">
        <v>30</v>
      </c>
      <c r="E4" t="s">
        <v>7</v>
      </c>
    </row>
    <row r="5" spans="2:5" x14ac:dyDescent="0.3">
      <c r="B5">
        <v>3</v>
      </c>
      <c r="C5" s="1" t="s">
        <v>16</v>
      </c>
      <c r="D5">
        <v>11</v>
      </c>
      <c r="E5" t="s">
        <v>7</v>
      </c>
    </row>
    <row r="6" spans="2:5" x14ac:dyDescent="0.3">
      <c r="B6">
        <v>4</v>
      </c>
      <c r="C6" s="1" t="s">
        <v>17</v>
      </c>
      <c r="D6">
        <v>32</v>
      </c>
      <c r="E6" t="s">
        <v>7</v>
      </c>
    </row>
    <row r="7" spans="2:5" x14ac:dyDescent="0.3">
      <c r="B7">
        <v>5</v>
      </c>
      <c r="C7" s="1" t="s">
        <v>18</v>
      </c>
      <c r="D7">
        <v>11</v>
      </c>
      <c r="E7" t="s">
        <v>7</v>
      </c>
    </row>
    <row r="8" spans="2:5" x14ac:dyDescent="0.3">
      <c r="B8">
        <v>6</v>
      </c>
      <c r="C8" s="1" t="s">
        <v>19</v>
      </c>
      <c r="D8">
        <v>31</v>
      </c>
      <c r="E8" t="s">
        <v>7</v>
      </c>
    </row>
    <row r="9" spans="2:5" x14ac:dyDescent="0.3">
      <c r="B9">
        <v>7</v>
      </c>
      <c r="C9" s="1" t="s">
        <v>20</v>
      </c>
      <c r="D9">
        <v>11.5</v>
      </c>
      <c r="E9" t="s">
        <v>7</v>
      </c>
    </row>
    <row r="10" spans="2:5" x14ac:dyDescent="0.3">
      <c r="B10">
        <v>8</v>
      </c>
      <c r="C10" s="1" t="s">
        <v>14</v>
      </c>
      <c r="D10" s="5">
        <v>31</v>
      </c>
      <c r="E10" t="s">
        <v>7</v>
      </c>
    </row>
    <row r="11" spans="2:5" x14ac:dyDescent="0.3">
      <c r="B11">
        <v>9</v>
      </c>
      <c r="C11" s="1" t="s">
        <v>14</v>
      </c>
      <c r="D11">
        <v>12</v>
      </c>
      <c r="E11" t="s">
        <v>7</v>
      </c>
    </row>
    <row r="12" spans="2:5" x14ac:dyDescent="0.3">
      <c r="B12">
        <v>10</v>
      </c>
      <c r="C12" s="1" t="s">
        <v>14</v>
      </c>
      <c r="D12">
        <v>32</v>
      </c>
      <c r="E12" t="s">
        <v>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618A-AA18-4DBE-96B8-D10FF334E7AD}">
  <dimension ref="B2:AH43"/>
  <sheetViews>
    <sheetView tabSelected="1" zoomScale="80" zoomScaleNormal="80" workbookViewId="0">
      <selection activeCell="K26" sqref="K26:AH26"/>
    </sheetView>
  </sheetViews>
  <sheetFormatPr defaultRowHeight="14.4" x14ac:dyDescent="0.3"/>
  <cols>
    <col min="3" max="3" width="23.44140625" bestFit="1" customWidth="1"/>
    <col min="4" max="4" width="18.88671875" bestFit="1" customWidth="1"/>
    <col min="5" max="5" width="28" bestFit="1" customWidth="1"/>
    <col min="6" max="13" width="16.5546875" bestFit="1" customWidth="1"/>
  </cols>
  <sheetData>
    <row r="2" spans="2:23" x14ac:dyDescent="0.3">
      <c r="B2" s="11" t="s">
        <v>10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10" t="s">
        <v>20</v>
      </c>
      <c r="K2" s="12" t="s">
        <v>10</v>
      </c>
      <c r="L2" s="10" t="s">
        <v>24</v>
      </c>
      <c r="M2" s="10" t="s">
        <v>25</v>
      </c>
      <c r="N2" s="10" t="s">
        <v>26</v>
      </c>
      <c r="O2" s="10" t="s">
        <v>27</v>
      </c>
      <c r="P2" s="10" t="s">
        <v>28</v>
      </c>
      <c r="Q2" s="10" t="s">
        <v>29</v>
      </c>
      <c r="R2" s="10" t="s">
        <v>30</v>
      </c>
      <c r="S2" s="10" t="s">
        <v>31</v>
      </c>
      <c r="T2" s="10" t="s">
        <v>32</v>
      </c>
      <c r="U2" s="10" t="s">
        <v>33</v>
      </c>
      <c r="V2" s="10" t="s">
        <v>34</v>
      </c>
      <c r="W2" s="10" t="s">
        <v>35</v>
      </c>
    </row>
    <row r="3" spans="2:23" x14ac:dyDescent="0.3">
      <c r="B3" s="8" t="s">
        <v>8</v>
      </c>
      <c r="C3" s="6">
        <v>10</v>
      </c>
      <c r="D3" s="6">
        <v>11</v>
      </c>
      <c r="E3" s="6">
        <v>11</v>
      </c>
      <c r="F3" s="6">
        <v>11.5</v>
      </c>
      <c r="G3" s="6">
        <v>12</v>
      </c>
      <c r="H3" s="6">
        <v>12</v>
      </c>
      <c r="I3" s="6">
        <v>11.5</v>
      </c>
      <c r="K3" s="8" t="s">
        <v>21</v>
      </c>
      <c r="L3" s="6">
        <v>19</v>
      </c>
      <c r="M3" s="6">
        <v>15</v>
      </c>
      <c r="N3" s="6">
        <v>11</v>
      </c>
      <c r="O3" s="6">
        <v>10</v>
      </c>
      <c r="P3" s="6">
        <v>10</v>
      </c>
      <c r="Q3" s="6">
        <v>13</v>
      </c>
      <c r="R3" s="6">
        <v>14</v>
      </c>
      <c r="S3" s="6">
        <v>12</v>
      </c>
      <c r="T3" s="6">
        <v>11</v>
      </c>
      <c r="U3" s="6">
        <v>15</v>
      </c>
      <c r="V3" s="6">
        <v>16</v>
      </c>
      <c r="W3" s="6">
        <v>17</v>
      </c>
    </row>
    <row r="4" spans="2:23" x14ac:dyDescent="0.3">
      <c r="B4" s="8" t="s">
        <v>9</v>
      </c>
      <c r="C4" s="6">
        <v>30</v>
      </c>
      <c r="D4" s="6">
        <v>32</v>
      </c>
      <c r="E4" s="6">
        <v>31</v>
      </c>
      <c r="F4" s="6">
        <v>31</v>
      </c>
      <c r="G4" s="6">
        <v>32</v>
      </c>
      <c r="H4" s="6">
        <v>30</v>
      </c>
      <c r="I4" s="6">
        <v>31</v>
      </c>
      <c r="K4" s="8" t="s">
        <v>22</v>
      </c>
      <c r="L4" s="6">
        <v>37</v>
      </c>
      <c r="M4" s="6">
        <v>35</v>
      </c>
      <c r="N4" s="6">
        <v>32</v>
      </c>
      <c r="O4" s="6">
        <v>31</v>
      </c>
      <c r="P4" s="6">
        <v>29</v>
      </c>
      <c r="Q4" s="6">
        <v>28</v>
      </c>
      <c r="R4" s="6">
        <v>30</v>
      </c>
      <c r="S4" s="6">
        <v>27</v>
      </c>
      <c r="T4" s="6">
        <v>27</v>
      </c>
      <c r="U4" s="6">
        <v>28</v>
      </c>
      <c r="V4" s="6">
        <v>29</v>
      </c>
      <c r="W4" s="6">
        <v>34</v>
      </c>
    </row>
    <row r="5" spans="2:23" x14ac:dyDescent="0.3">
      <c r="K5" s="8" t="s">
        <v>23</v>
      </c>
      <c r="L5" s="6">
        <f>(L3+L4)/2</f>
        <v>28</v>
      </c>
      <c r="M5" s="6">
        <f t="shared" ref="M5:W5" si="0">(M3+M4)/2</f>
        <v>25</v>
      </c>
      <c r="N5" s="6">
        <f t="shared" si="0"/>
        <v>21.5</v>
      </c>
      <c r="O5" s="6">
        <f t="shared" si="0"/>
        <v>20.5</v>
      </c>
      <c r="P5" s="6">
        <f t="shared" si="0"/>
        <v>19.5</v>
      </c>
      <c r="Q5" s="6">
        <f t="shared" si="0"/>
        <v>20.5</v>
      </c>
      <c r="R5" s="6">
        <f t="shared" si="0"/>
        <v>22</v>
      </c>
      <c r="S5" s="6">
        <f t="shared" si="0"/>
        <v>19.5</v>
      </c>
      <c r="T5" s="6">
        <f t="shared" si="0"/>
        <v>19</v>
      </c>
      <c r="U5" s="6">
        <f t="shared" si="0"/>
        <v>21.5</v>
      </c>
      <c r="V5" s="6">
        <f t="shared" si="0"/>
        <v>22.5</v>
      </c>
      <c r="W5" s="6">
        <f t="shared" si="0"/>
        <v>25.5</v>
      </c>
    </row>
    <row r="26" spans="2:34" x14ac:dyDescent="0.3">
      <c r="B26" s="11" t="s">
        <v>46</v>
      </c>
      <c r="C26" s="7" t="s">
        <v>47</v>
      </c>
      <c r="J26" s="11" t="s">
        <v>10</v>
      </c>
      <c r="K26" s="13">
        <v>4.1666666666666664E-2</v>
      </c>
      <c r="L26" s="13">
        <v>8.3333333333333301E-2</v>
      </c>
      <c r="M26" s="13">
        <v>0.125</v>
      </c>
      <c r="N26" s="13">
        <v>0.16666666666666699</v>
      </c>
      <c r="O26" s="13">
        <v>0.20833333333333301</v>
      </c>
      <c r="P26" s="13">
        <v>0.25</v>
      </c>
      <c r="Q26" s="13">
        <v>0.29166666666666702</v>
      </c>
      <c r="R26" s="13">
        <v>0.33333333333333298</v>
      </c>
      <c r="S26" s="13">
        <v>0.375</v>
      </c>
      <c r="T26" s="13">
        <v>0.41666666666666702</v>
      </c>
      <c r="U26" s="13">
        <v>0.45833333333333298</v>
      </c>
      <c r="V26" s="13">
        <v>0.5</v>
      </c>
      <c r="W26" s="13">
        <v>0.54166666666666696</v>
      </c>
      <c r="X26" s="13">
        <v>0.58333333333333304</v>
      </c>
      <c r="Y26" s="13">
        <v>0.625</v>
      </c>
      <c r="Z26" s="13">
        <v>0.66666666666666696</v>
      </c>
      <c r="AA26" s="13">
        <v>0.70833333333333304</v>
      </c>
      <c r="AB26" s="13">
        <v>0.75</v>
      </c>
      <c r="AC26" s="13">
        <v>0.79166666666666696</v>
      </c>
      <c r="AD26" s="13">
        <v>0.83333333333333304</v>
      </c>
      <c r="AE26" s="13">
        <v>0.875</v>
      </c>
      <c r="AF26" s="13">
        <v>0.91666666666666696</v>
      </c>
      <c r="AG26" s="13">
        <v>0.95833333333333304</v>
      </c>
      <c r="AH26" s="13">
        <v>1</v>
      </c>
    </row>
    <row r="27" spans="2:34" x14ac:dyDescent="0.3">
      <c r="B27" s="8" t="s">
        <v>36</v>
      </c>
      <c r="C27" s="6">
        <v>3</v>
      </c>
      <c r="J27" s="8" t="s">
        <v>48</v>
      </c>
      <c r="K27" s="6">
        <v>24</v>
      </c>
      <c r="L27" s="6">
        <v>27</v>
      </c>
      <c r="M27" s="6">
        <v>30</v>
      </c>
      <c r="N27" s="6">
        <v>28</v>
      </c>
      <c r="O27" s="6">
        <v>24</v>
      </c>
      <c r="P27" s="6">
        <v>23</v>
      </c>
      <c r="Q27" s="6">
        <v>22</v>
      </c>
      <c r="R27" s="6">
        <v>25</v>
      </c>
      <c r="S27" s="6">
        <v>28</v>
      </c>
      <c r="T27" s="6">
        <v>31</v>
      </c>
      <c r="U27" s="6">
        <v>32</v>
      </c>
      <c r="V27" s="6">
        <v>33</v>
      </c>
      <c r="W27" s="6">
        <v>35</v>
      </c>
      <c r="X27" s="6">
        <v>36</v>
      </c>
      <c r="Y27" s="6">
        <v>35</v>
      </c>
      <c r="Z27" s="6">
        <v>34</v>
      </c>
      <c r="AA27" s="6">
        <v>31</v>
      </c>
      <c r="AB27" s="6">
        <v>28</v>
      </c>
      <c r="AC27" s="6">
        <v>26</v>
      </c>
      <c r="AD27" s="6">
        <v>25</v>
      </c>
      <c r="AE27" s="6">
        <v>22</v>
      </c>
      <c r="AF27" s="6">
        <v>21</v>
      </c>
      <c r="AG27" s="6">
        <v>21</v>
      </c>
      <c r="AH27" s="6">
        <v>20</v>
      </c>
    </row>
    <row r="28" spans="2:34" x14ac:dyDescent="0.3">
      <c r="B28" s="8" t="s">
        <v>37</v>
      </c>
      <c r="C28" s="6">
        <v>5</v>
      </c>
      <c r="J28" s="8" t="s">
        <v>49</v>
      </c>
      <c r="K28" s="6">
        <f>IF(K27&gt;25, 100 - ((K27-25)*2.5), 100)</f>
        <v>100</v>
      </c>
      <c r="L28" s="6">
        <f t="shared" ref="L28:AH28" si="1">IF(L27&gt;25, 100 - ((L27-25)*2.5), 100)</f>
        <v>95</v>
      </c>
      <c r="M28" s="6">
        <f t="shared" si="1"/>
        <v>87.5</v>
      </c>
      <c r="N28" s="6">
        <f t="shared" si="1"/>
        <v>92.5</v>
      </c>
      <c r="O28" s="6">
        <f t="shared" si="1"/>
        <v>100</v>
      </c>
      <c r="P28" s="6">
        <f t="shared" si="1"/>
        <v>100</v>
      </c>
      <c r="Q28" s="6">
        <f t="shared" si="1"/>
        <v>100</v>
      </c>
      <c r="R28" s="6">
        <f t="shared" si="1"/>
        <v>100</v>
      </c>
      <c r="S28" s="6">
        <f t="shared" si="1"/>
        <v>92.5</v>
      </c>
      <c r="T28" s="6">
        <f t="shared" si="1"/>
        <v>85</v>
      </c>
      <c r="U28" s="6">
        <f t="shared" si="1"/>
        <v>82.5</v>
      </c>
      <c r="V28" s="6">
        <f t="shared" si="1"/>
        <v>80</v>
      </c>
      <c r="W28" s="6">
        <f t="shared" si="1"/>
        <v>75</v>
      </c>
      <c r="X28" s="6">
        <f t="shared" si="1"/>
        <v>72.5</v>
      </c>
      <c r="Y28" s="6">
        <f t="shared" si="1"/>
        <v>75</v>
      </c>
      <c r="Z28" s="6">
        <f t="shared" si="1"/>
        <v>77.5</v>
      </c>
      <c r="AA28" s="6">
        <f t="shared" si="1"/>
        <v>85</v>
      </c>
      <c r="AB28" s="6">
        <f t="shared" si="1"/>
        <v>92.5</v>
      </c>
      <c r="AC28" s="6">
        <f t="shared" si="1"/>
        <v>97.5</v>
      </c>
      <c r="AD28" s="6">
        <f t="shared" si="1"/>
        <v>100</v>
      </c>
      <c r="AE28" s="6">
        <f t="shared" si="1"/>
        <v>100</v>
      </c>
      <c r="AF28" s="6">
        <f t="shared" si="1"/>
        <v>100</v>
      </c>
      <c r="AG28" s="6">
        <f t="shared" si="1"/>
        <v>100</v>
      </c>
      <c r="AH28" s="6">
        <f t="shared" si="1"/>
        <v>100</v>
      </c>
    </row>
    <row r="29" spans="2:34" x14ac:dyDescent="0.3">
      <c r="B29" s="8" t="s">
        <v>38</v>
      </c>
      <c r="C29" s="6">
        <v>7</v>
      </c>
    </row>
    <row r="30" spans="2:34" x14ac:dyDescent="0.3">
      <c r="B30" s="8" t="s">
        <v>39</v>
      </c>
      <c r="C30" s="6">
        <v>10</v>
      </c>
    </row>
    <row r="31" spans="2:34" x14ac:dyDescent="0.3">
      <c r="B31" s="8" t="s">
        <v>40</v>
      </c>
      <c r="C31" s="6">
        <v>5</v>
      </c>
    </row>
    <row r="32" spans="2:34" x14ac:dyDescent="0.3">
      <c r="B32" s="8" t="s">
        <v>41</v>
      </c>
      <c r="C32" s="6">
        <v>4</v>
      </c>
    </row>
    <row r="33" spans="2:5" x14ac:dyDescent="0.3">
      <c r="B33" s="8" t="s">
        <v>42</v>
      </c>
      <c r="C33" s="6">
        <v>0</v>
      </c>
    </row>
    <row r="34" spans="2:5" x14ac:dyDescent="0.3">
      <c r="B34" s="8" t="s">
        <v>43</v>
      </c>
      <c r="C34" s="6">
        <v>2</v>
      </c>
    </row>
    <row r="35" spans="2:5" x14ac:dyDescent="0.3">
      <c r="B35" s="8" t="s">
        <v>44</v>
      </c>
      <c r="C35" s="6">
        <v>1</v>
      </c>
    </row>
    <row r="36" spans="2:5" x14ac:dyDescent="0.3">
      <c r="B36" s="8" t="s">
        <v>45</v>
      </c>
      <c r="C36" s="6">
        <v>9</v>
      </c>
    </row>
    <row r="42" spans="2:5" x14ac:dyDescent="0.3">
      <c r="C42" s="7" t="s">
        <v>50</v>
      </c>
      <c r="D42" s="7" t="s">
        <v>51</v>
      </c>
      <c r="E42" s="7" t="s">
        <v>52</v>
      </c>
    </row>
    <row r="43" spans="2:5" x14ac:dyDescent="0.3">
      <c r="C43" s="8">
        <f>SUM(C27:C36)</f>
        <v>46</v>
      </c>
      <c r="D43" s="8">
        <f>SUM(K28:AH28) / 24</f>
        <v>91.25</v>
      </c>
      <c r="E43" s="9" t="str">
        <f>INDEX(B27:B36,MATCH(MAX(C27:C36),C27:C36,0))</f>
        <v>Sensor 4</v>
      </c>
    </row>
  </sheetData>
  <phoneticPr fontId="4" type="noConversion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fcf95d-5720-49ef-8433-32c5e816261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CCDF04E857464297EB39D2D9F68213" ma:contentTypeVersion="16" ma:contentTypeDescription="Crie um novo documento." ma:contentTypeScope="" ma:versionID="fbf36de66e5948c67c88f8230dceb083">
  <xsd:schema xmlns:xsd="http://www.w3.org/2001/XMLSchema" xmlns:xs="http://www.w3.org/2001/XMLSchema" xmlns:p="http://schemas.microsoft.com/office/2006/metadata/properties" xmlns:ns2="90fcf95d-5720-49ef-8433-32c5e8162615" xmlns:ns3="07a9b4e4-bfce-4f58-a40d-3b802b92b068" targetNamespace="http://schemas.microsoft.com/office/2006/metadata/properties" ma:root="true" ma:fieldsID="588110853c3df547c3a1f77e364f30fd" ns2:_="" ns3:_="">
    <xsd:import namespace="90fcf95d-5720-49ef-8433-32c5e8162615"/>
    <xsd:import namespace="07a9b4e4-bfce-4f58-a40d-3b802b92b0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fcf95d-5720-49ef-8433-32c5e81626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7b9497d1-976c-460c-b354-1ae52b23e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b4e4-bfce-4f58-a40d-3b802b92b068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4901F6-D494-434C-8948-F604DCF7F0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3ADDD95-D2F0-4266-A4B5-2CD0720E3AA9}">
  <ds:schemaRefs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07a9b4e4-bfce-4f58-a40d-3b802b92b068"/>
    <ds:schemaRef ds:uri="90fcf95d-5720-49ef-8433-32c5e816261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07F75A4-5F60-4259-AE26-F94E86452BC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fcf95d-5720-49ef-8433-32c5e8162615"/>
    <ds:schemaRef ds:uri="07a9b4e4-bfce-4f58-a40d-3b802b92b0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Dados</vt:lpstr>
      <vt:lpstr>Exemplo - como inserir grafico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FERNANDA FERREIRA CARAMICO</dc:creator>
  <cp:keywords/>
  <dc:description/>
  <cp:lastModifiedBy>NATHAN MORAIS ADRIANO DA SILVA .</cp:lastModifiedBy>
  <cp:revision/>
  <dcterms:created xsi:type="dcterms:W3CDTF">2024-04-02T13:26:07Z</dcterms:created>
  <dcterms:modified xsi:type="dcterms:W3CDTF">2025-10-09T03:52:07Z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0x010100ECCCDF04E857464297EB39D2D9F68213</vt:lpwstr>
  </property>
  <property fmtid="{D5CDD505-2E9C-101B-9397-08002B2CF9AE}" pid="3" name="MediaServiceImageTags">
    <vt:lpwstr/>
  </property>
</Properties>
</file>